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\Desktop\tovar\"/>
    </mc:Choice>
  </mc:AlternateContent>
  <xr:revisionPtr revIDLastSave="0" documentId="13_ncr:1_{520F51EA-12E0-4C0D-A4DE-B36F9FF69CC9}" xr6:coauthVersionLast="45" xr6:coauthVersionMax="45" xr10:uidLastSave="{00000000-0000-0000-0000-000000000000}"/>
  <bookViews>
    <workbookView xWindow="-60" yWindow="-60" windowWidth="28920" windowHeight="15660" xr2:uid="{BCDC4CE2-D9AE-46C6-8E0E-240183A36D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1" i="1"/>
  <c r="G40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42" i="1"/>
  <c r="E43" i="1"/>
  <c r="E44" i="1"/>
  <c r="E41" i="1"/>
  <c r="G38" i="1"/>
  <c r="E39" i="1"/>
  <c r="G19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0" i="1"/>
  <c r="G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<sst xmlns="http://schemas.openxmlformats.org/spreadsheetml/2006/main" count="65" uniqueCount="62">
  <si>
    <t>EZ-HAC-B2A41P-0280B-DIP Видеокамера HDCVI купольная, 1/2.7" 4Мп</t>
  </si>
  <si>
    <t>EZ-HAC-B6B20P-LED-0360B Видеокамера HDCVI цилиндрическая, 1/2.8" 2Мп</t>
  </si>
  <si>
    <t>EZ-HAC-D1A21P-0280B 2Мп HD-CVI камера видеонаблюдения</t>
  </si>
  <si>
    <t>EZ-HAC-D1A41P-0280B 4Мп HDCVI видеокамера</t>
  </si>
  <si>
    <t>EZ-HAC-D1A41P-0360B 4Мп HDCVI видеокамера</t>
  </si>
  <si>
    <t>EZ-HAC-T2A11P-0280B Видеокамера HDCVI купольная, 1/2.7" 1Мп</t>
  </si>
  <si>
    <t>EZ-HAC-T2A21P-0280B 2Мп Видеокамера HDCVI купольная</t>
  </si>
  <si>
    <t>EZ-HAC-T5B20P-A-0280B Видеокамера HDCVI купольная, 1/2.7" 2Мп</t>
  </si>
  <si>
    <t>EZ-HAC-T6B20P-LED-0280B Видеокамера HDCVI купольная, 2Мп</t>
  </si>
  <si>
    <t>EZ-IPC-B1B20P-0360B IP-видеокамера</t>
  </si>
  <si>
    <t>EZ-NVR1B04 4-канальный сетевой видеорегистратор</t>
  </si>
  <si>
    <t>EZ-NVR1B04HC/E Видеорегистратор наблюдения Dahua</t>
  </si>
  <si>
    <t>EZ-NVR1B08HS Видеорегистратор наблюдения</t>
  </si>
  <si>
    <t>EZ-NVR2B16 IP видеорегистратор Dahua</t>
  </si>
  <si>
    <t>EZ-XVR1B04H Гибридный регистратор</t>
  </si>
  <si>
    <t>EZ-XVR1B08H Гибридный регистратор</t>
  </si>
  <si>
    <t>EZ-XVR1B16H Гибридный регистратор</t>
  </si>
  <si>
    <t>сумма:</t>
  </si>
  <si>
    <t>IP-видеокамера купольная антивандальная DH-IPC-HDBW1431EP-S-0360B</t>
  </si>
  <si>
    <t>DH-IPC-HDBW4231FP-AS-0280B 2Мп IP видеокамера</t>
  </si>
  <si>
    <t>Миниатюрная IP видеокамера DH-IPC-K35AP 3MP c POE</t>
  </si>
  <si>
    <t>IP-видеокамера DH-IPC-K35P для системы видеонаблюдения</t>
  </si>
  <si>
    <t>Уличная поворотная купольная HDCVI видеокамера  DH-SD22204I-GC для систем видеонаблюдения</t>
  </si>
  <si>
    <t>DHI-VTH1550CH Монитор IP домофона DAHUA цветной сенсорный</t>
  </si>
  <si>
    <t>DHI-ASI1201A-D контролер</t>
  </si>
  <si>
    <t>DH-ASR1101A-D RFID считыватель</t>
  </si>
  <si>
    <t>IP видеорегистратор DHI-NVR2104-4KS2</t>
  </si>
  <si>
    <t>IP видеорегистратор DHI-NVR2104-W-4KS2</t>
  </si>
  <si>
    <t>IP видеорегистратор DHI-NVR2108-4KS2</t>
  </si>
  <si>
    <t>16-канальный 4K сетевой видеорегистратор Dahua DH-NVR4216-4KS2</t>
  </si>
  <si>
    <t>DHI-VTH2201DW Аудиодомофон DAHUA</t>
  </si>
  <si>
    <t>DH-IPC-B2B20-ZS IP видеокамера Dahua</t>
  </si>
  <si>
    <t>DH-IPC-D2B20-ZS IP видеокамера Dahua</t>
  </si>
  <si>
    <t>IP видеокамера купольная DH-IPC-HDW2230TP-AS-0280B</t>
  </si>
  <si>
    <t>DH-IPC-HFW2230SP-S-0280B Видеокамера IP Уличная цилиндрическая 2Mп</t>
  </si>
  <si>
    <t>Видеокамера IP Уличная цилиндрическая 2Mп DH-IPC-HFW2230SP-S-0360B</t>
  </si>
  <si>
    <t>сумма закупки:</t>
  </si>
  <si>
    <t xml:space="preserve">Замки </t>
  </si>
  <si>
    <t xml:space="preserve">HiWatch DS-N332/2(B) 32-х канальный IP-регистратор                                                </t>
  </si>
  <si>
    <t>HiWatch DS-I250 (2.8 mm) 2Мп уличная цилиндрическая IP-камера</t>
  </si>
  <si>
    <t>HiWatch IPC-B020 (2.8mm) 2Мп уличная цилиндрическая IP-камера</t>
  </si>
  <si>
    <t>HiWatch IPC-T020 (2.8mm) 2Мп уличная купольная IP-камера</t>
  </si>
  <si>
    <t xml:space="preserve">HiWatch DS-S908P(B) Сетевой неуправляемый коммутатор                                              </t>
  </si>
  <si>
    <t>HiWatch DS-S604P Сетевой неуправляемый коммутатор</t>
  </si>
  <si>
    <t>HiWatch DS-D100MF 7" цветной TFT монитор 800х480 c памятью до 200 снимков</t>
  </si>
  <si>
    <t>HiWatch DS-D100KF Комплект аналогового видеодомофона c памятью до 200 снимков</t>
  </si>
  <si>
    <t>HiWatch DS-I200 (C) (2.8 mm) 2Мп уличная цилиндрическая IP-камера с EXIR-подсветкой</t>
  </si>
  <si>
    <t>HiWatch DS-I200 (C) (4 mm) 2Мп уличная цилиндрическая IP-камера с EXIR-подсветкой</t>
  </si>
  <si>
    <t>HiWatch DS-I250 (4 mm) 2Мп уличная цилиндрическая IP-камера</t>
  </si>
  <si>
    <t xml:space="preserve">HiWatch DS-I252 (6 mm) 2Мп уличная купольная IP-камера </t>
  </si>
  <si>
    <t>HiWatch DS-I202 (C) (2.8 mm) 2Мп уличная купольная мини IP-камера</t>
  </si>
  <si>
    <t xml:space="preserve">HiWatch DS-I203 (C) (2.8 mm) 2Мп уличная IP-камера с EXIR-подсветкой </t>
  </si>
  <si>
    <t>HiWatch DS-I253M (4 mm) 2Мп уличная IP-камера с EXIR-подсветкой</t>
  </si>
  <si>
    <t>HiWatch DS-I400(B) (2.8 mm) 4Мп уличная цилиндрическая IP-камера</t>
  </si>
  <si>
    <t>HiWatch DS-I450 (2.8 mm) 4Мп уличная цилиндрическая IP-камера с EXIR-подсветкой до 30м</t>
  </si>
  <si>
    <t>HiWatch DS-I450 (4 mm) 4Мп уличная цилиндрическая IP-камера с EXIR-подсветкой до 30м</t>
  </si>
  <si>
    <t>HiWatch DS-I453 (2.8 mm) 4Мп уличная купольная мини IP-камера с EXIR-подсветкой до 30м</t>
  </si>
  <si>
    <t>HiWatch DS-N204(B) 4-х канальный IP-регистратор</t>
  </si>
  <si>
    <t>HiWatch DS-N316(B) 16-ти канальный IP-регистратор</t>
  </si>
  <si>
    <t>HiWatch DS-N208(B) 8-ми канальный IP-регистратор</t>
  </si>
  <si>
    <t>взято на закупку:</t>
  </si>
  <si>
    <t>остаток: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</si>
</sst>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1">
    <xf numFmtId="0" fontId="0" fillId="0" borderId="0" xfId="0"/>
    <xf numFmtId="0" fontId="3" fillId="6" borderId="0" xfId="2" applyNumberFormat="1" applyFont="1" applyFill="1" applyBorder="1" applyAlignment="1">
      <alignment horizontal="left" vertical="center" wrapText="1"/>
    </xf>
    <xf numFmtId="1" fontId="3" fillId="6" borderId="0" xfId="2" applyNumberFormat="1" applyFont="1" applyFill="1" applyBorder="1" applyAlignment="1">
      <alignment horizontal="right" vertical="center"/>
    </xf>
    <xf numFmtId="0" fontId="3" fillId="6" borderId="0" xfId="2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1" applyNumberFormat="1" applyFont="1" applyFill="1" applyBorder="1" applyAlignment="1">
      <alignment vertical="center" wrapText="1"/>
    </xf>
    <xf numFmtId="1" fontId="3" fillId="3" borderId="0" xfId="1" applyNumberFormat="1" applyFont="1" applyFill="1" applyBorder="1" applyAlignment="1">
      <alignment horizontal="right" vertical="center"/>
    </xf>
    <xf numFmtId="4" fontId="3" fillId="3" borderId="0" xfId="1" applyNumberFormat="1" applyFont="1" applyFill="1" applyBorder="1" applyAlignment="1">
      <alignment horizontal="right" vertical="center"/>
    </xf>
    <xf numFmtId="4" fontId="3" fillId="0" borderId="0" xfId="1" applyNumberFormat="1" applyFont="1" applyBorder="1" applyAlignment="1">
      <alignment horizontal="right" vertical="center"/>
    </xf>
    <xf numFmtId="0" fontId="3" fillId="0" borderId="0" xfId="1" applyNumberFormat="1" applyFont="1" applyBorder="1" applyAlignment="1">
      <alignment vertical="center" wrapText="1"/>
    </xf>
    <xf numFmtId="0" fontId="3" fillId="5" borderId="0" xfId="1" applyNumberFormat="1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1" fontId="3" fillId="5" borderId="0" xfId="1" applyNumberFormat="1" applyFont="1" applyFill="1" applyBorder="1" applyAlignment="1">
      <alignment horizontal="right" vertical="center"/>
    </xf>
    <xf numFmtId="4" fontId="3" fillId="5" borderId="0" xfId="1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Border="1" applyAlignment="1">
      <alignment vertical="center"/>
    </xf>
    <xf numFmtId="2" fontId="2" fillId="4" borderId="0" xfId="0" applyNumberFormat="1" applyFont="1" applyFill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7" borderId="0" xfId="0" applyFont="1" applyFill="1" applyAlignment="1">
      <alignment vertical="center"/>
    </xf>
    <xf numFmtId="2" fontId="2" fillId="7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2" fontId="3" fillId="0" borderId="0" xfId="1" applyNumberFormat="1" applyFont="1" applyBorder="1" applyAlignment="1">
      <alignment horizontal="right" vertical="center"/>
    </xf>
    <xf numFmtId="2" fontId="3" fillId="5" borderId="0" xfId="1" applyNumberFormat="1" applyFont="1" applyFill="1" applyBorder="1" applyAlignment="1">
      <alignment vertical="center" wrapText="1"/>
    </xf>
    <xf numFmtId="2" fontId="2" fillId="6" borderId="0" xfId="0" applyNumberFormat="1" applyFont="1" applyFill="1" applyAlignment="1">
      <alignment vertical="center"/>
    </xf>
  </cellXfs>
  <cellStyles count="3">
    <cellStyle name="Обычный" xfId="0" builtinId="0"/>
    <cellStyle name="Обычный 2" xfId="1" xr:uid="{330926B2-2D61-499E-ADE2-4A4FBD05462F}"/>
    <cellStyle name="Обычный 3" xfId="2" xr:uid="{1F97FEA9-89A7-4C7C-B5EA-0102D53CE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8299-B310-4DB8-8133-F3A062FC4711}">
  <dimension ref="A1:AQ74"/>
  <sheetViews>
    <sheetView tabSelected="1" workbookViewId="0">
      <selection activeCell="M8" sqref="M8"/>
    </sheetView>
  </sheetViews>
  <sheetFormatPr defaultRowHeight="28.5" customHeight="1" x14ac:dyDescent="0.25"/>
  <cols>
    <col min="1" max="1" width="6.5703125" style="4" customWidth="1"/>
    <col min="2" max="2" width="73.7109375" style="4" customWidth="1"/>
    <col min="3" max="3" width="11.42578125" style="4" customWidth="1"/>
    <col min="4" max="4" width="13.5703125" style="4" customWidth="1"/>
    <col min="5" max="5" width="12.140625" style="4" customWidth="1"/>
    <col min="6" max="6" width="9.140625" style="4"/>
    <col min="7" max="7" width="10.28515625" style="23" bestFit="1" customWidth="1"/>
    <col min="8" max="8" width="9.140625" style="4"/>
    <col min="9" max="9" width="16.140625" style="4" customWidth="1"/>
    <col min="10" max="10" width="10.42578125" style="4" bestFit="1" customWidth="1"/>
    <col min="11" max="16384" width="9.140625" style="4"/>
  </cols>
  <sheetData>
    <row r="1" spans="1:10" ht="28.5" customHeight="1" x14ac:dyDescent="0.25">
      <c r="F1" s="5" t="s">
        <v>17</v>
      </c>
      <c r="G1" s="26">
        <f>SUM(E2:E18)</f>
        <v>152210</v>
      </c>
      <c r="I1" s="6" t="s">
        <v>36</v>
      </c>
      <c r="J1" s="22">
        <f>SUM(G:G)</f>
        <v>607358</v>
      </c>
    </row>
    <row r="2" spans="1:10" ht="28.5" customHeight="1" x14ac:dyDescent="0.25">
      <c r="A2" s="5">
        <v>1</v>
      </c>
      <c r="B2" s="5" t="s">
        <v>0</v>
      </c>
      <c r="C2" s="5">
        <v>1</v>
      </c>
      <c r="D2" s="7">
        <v>1495</v>
      </c>
      <c r="E2" s="5">
        <f>C2*D2</f>
        <v>1495</v>
      </c>
      <c r="I2" s="4" t="s">
        <v>60</v>
      </c>
      <c r="J2" s="23">
        <v>645000</v>
      </c>
    </row>
    <row r="3" spans="1:10" ht="28.5" customHeight="1" x14ac:dyDescent="0.25">
      <c r="A3" s="5">
        <v>2</v>
      </c>
      <c r="B3" s="5" t="s">
        <v>1</v>
      </c>
      <c r="C3" s="5">
        <v>2</v>
      </c>
      <c r="D3" s="7">
        <v>1395</v>
      </c>
      <c r="E3" s="5">
        <f t="shared" ref="E3:E18" si="0">C3*D3</f>
        <v>2790</v>
      </c>
      <c r="I3" s="24" t="s">
        <v>61</v>
      </c>
      <c r="J3" s="25">
        <f>J2-J1</f>
        <v>37642</v>
      </c>
    </row>
    <row r="4" spans="1:10" ht="28.5" customHeight="1" x14ac:dyDescent="0.25">
      <c r="A4" s="5">
        <v>3</v>
      </c>
      <c r="B4" s="5" t="s">
        <v>2</v>
      </c>
      <c r="C4" s="5">
        <v>10</v>
      </c>
      <c r="D4" s="5">
        <v>995</v>
      </c>
      <c r="E4" s="5">
        <f t="shared" si="0"/>
        <v>9950</v>
      </c>
    </row>
    <row r="5" spans="1:10" ht="28.5" customHeight="1" x14ac:dyDescent="0.25">
      <c r="A5" s="5">
        <v>4</v>
      </c>
      <c r="B5" s="5" t="s">
        <v>3</v>
      </c>
      <c r="C5" s="5">
        <v>5</v>
      </c>
      <c r="D5" s="7">
        <v>1395</v>
      </c>
      <c r="E5" s="5">
        <f t="shared" si="0"/>
        <v>6975</v>
      </c>
    </row>
    <row r="6" spans="1:10" ht="28.5" customHeight="1" x14ac:dyDescent="0.25">
      <c r="A6" s="5">
        <v>5</v>
      </c>
      <c r="B6" s="5" t="s">
        <v>4</v>
      </c>
      <c r="C6" s="5">
        <v>5</v>
      </c>
      <c r="D6" s="7">
        <v>1395</v>
      </c>
      <c r="E6" s="5">
        <f t="shared" si="0"/>
        <v>6975</v>
      </c>
    </row>
    <row r="7" spans="1:10" ht="28.5" customHeight="1" x14ac:dyDescent="0.25">
      <c r="A7" s="5">
        <v>6</v>
      </c>
      <c r="B7" s="5" t="s">
        <v>5</v>
      </c>
      <c r="C7" s="5">
        <v>5</v>
      </c>
      <c r="D7" s="7">
        <v>795</v>
      </c>
      <c r="E7" s="5">
        <f t="shared" si="0"/>
        <v>3975</v>
      </c>
    </row>
    <row r="8" spans="1:10" ht="28.5" customHeight="1" x14ac:dyDescent="0.25">
      <c r="A8" s="5">
        <v>7</v>
      </c>
      <c r="B8" s="5" t="s">
        <v>6</v>
      </c>
      <c r="C8" s="5">
        <v>10</v>
      </c>
      <c r="D8" s="7">
        <v>1045</v>
      </c>
      <c r="E8" s="5">
        <f t="shared" si="0"/>
        <v>10450</v>
      </c>
    </row>
    <row r="9" spans="1:10" ht="28.5" customHeight="1" x14ac:dyDescent="0.25">
      <c r="A9" s="5">
        <v>8</v>
      </c>
      <c r="B9" s="5" t="s">
        <v>7</v>
      </c>
      <c r="C9" s="5">
        <v>10</v>
      </c>
      <c r="D9" s="7">
        <v>1295</v>
      </c>
      <c r="E9" s="5">
        <f t="shared" si="0"/>
        <v>12950</v>
      </c>
    </row>
    <row r="10" spans="1:10" ht="28.5" customHeight="1" x14ac:dyDescent="0.25">
      <c r="A10" s="5">
        <v>9</v>
      </c>
      <c r="B10" s="5" t="s">
        <v>8</v>
      </c>
      <c r="C10" s="5">
        <v>10</v>
      </c>
      <c r="D10" s="7">
        <v>1245</v>
      </c>
      <c r="E10" s="5">
        <f t="shared" si="0"/>
        <v>12450</v>
      </c>
    </row>
    <row r="11" spans="1:10" ht="28.5" customHeight="1" x14ac:dyDescent="0.25">
      <c r="A11" s="5">
        <v>10</v>
      </c>
      <c r="B11" s="5" t="s">
        <v>9</v>
      </c>
      <c r="C11" s="5">
        <v>1</v>
      </c>
      <c r="D11" s="7">
        <v>2295</v>
      </c>
      <c r="E11" s="5">
        <f t="shared" si="0"/>
        <v>2295</v>
      </c>
    </row>
    <row r="12" spans="1:10" ht="28.5" customHeight="1" x14ac:dyDescent="0.25">
      <c r="A12" s="5">
        <v>11</v>
      </c>
      <c r="B12" s="5" t="s">
        <v>10</v>
      </c>
      <c r="C12" s="5">
        <v>2</v>
      </c>
      <c r="D12" s="7">
        <v>2195</v>
      </c>
      <c r="E12" s="5">
        <f t="shared" si="0"/>
        <v>4390</v>
      </c>
    </row>
    <row r="13" spans="1:10" ht="28.5" customHeight="1" x14ac:dyDescent="0.25">
      <c r="A13" s="5">
        <v>12</v>
      </c>
      <c r="B13" s="5" t="s">
        <v>11</v>
      </c>
      <c r="C13" s="5">
        <v>1</v>
      </c>
      <c r="D13" s="7">
        <v>2595</v>
      </c>
      <c r="E13" s="5">
        <f t="shared" si="0"/>
        <v>2595</v>
      </c>
    </row>
    <row r="14" spans="1:10" ht="28.5" customHeight="1" x14ac:dyDescent="0.25">
      <c r="A14" s="5">
        <v>13</v>
      </c>
      <c r="B14" s="5" t="s">
        <v>12</v>
      </c>
      <c r="C14" s="5">
        <v>4</v>
      </c>
      <c r="D14" s="7">
        <v>3895</v>
      </c>
      <c r="E14" s="5">
        <f t="shared" si="0"/>
        <v>15580</v>
      </c>
    </row>
    <row r="15" spans="1:10" ht="28.5" customHeight="1" x14ac:dyDescent="0.25">
      <c r="A15" s="5">
        <v>14</v>
      </c>
      <c r="B15" s="5" t="s">
        <v>13</v>
      </c>
      <c r="C15" s="5">
        <v>3</v>
      </c>
      <c r="D15" s="7">
        <v>5295</v>
      </c>
      <c r="E15" s="5">
        <f t="shared" si="0"/>
        <v>15885</v>
      </c>
    </row>
    <row r="16" spans="1:10" ht="28.5" customHeight="1" x14ac:dyDescent="0.25">
      <c r="A16" s="5">
        <v>15</v>
      </c>
      <c r="B16" s="5" t="s">
        <v>14</v>
      </c>
      <c r="C16" s="5">
        <v>1</v>
      </c>
      <c r="D16" s="7">
        <v>2745</v>
      </c>
      <c r="E16" s="5">
        <f t="shared" si="0"/>
        <v>2745</v>
      </c>
    </row>
    <row r="17" spans="1:43" ht="28.5" customHeight="1" x14ac:dyDescent="0.25">
      <c r="A17" s="5">
        <v>16</v>
      </c>
      <c r="B17" s="5" t="s">
        <v>15</v>
      </c>
      <c r="C17" s="5">
        <v>5</v>
      </c>
      <c r="D17" s="7">
        <v>4245</v>
      </c>
      <c r="E17" s="5">
        <f t="shared" si="0"/>
        <v>21225</v>
      </c>
    </row>
    <row r="18" spans="1:43" ht="28.5" customHeight="1" x14ac:dyDescent="0.25">
      <c r="A18" s="5">
        <v>17</v>
      </c>
      <c r="B18" s="5" t="s">
        <v>16</v>
      </c>
      <c r="C18" s="5">
        <v>3</v>
      </c>
      <c r="D18" s="7">
        <v>6495</v>
      </c>
      <c r="E18" s="5">
        <f t="shared" si="0"/>
        <v>19485</v>
      </c>
    </row>
    <row r="19" spans="1:43" ht="28.5" customHeight="1" x14ac:dyDescent="0.25">
      <c r="A19" s="8"/>
      <c r="B19" s="8"/>
      <c r="C19" s="8"/>
      <c r="D19" s="9"/>
      <c r="E19" s="8"/>
      <c r="F19" s="10" t="s">
        <v>17</v>
      </c>
      <c r="G19" s="27">
        <f>SUM(E20:E37)</f>
        <v>143663</v>
      </c>
    </row>
    <row r="20" spans="1:43" ht="28.5" customHeight="1" x14ac:dyDescent="0.25">
      <c r="A20" s="10">
        <v>18</v>
      </c>
      <c r="B20" s="11" t="s">
        <v>18</v>
      </c>
      <c r="C20" s="12">
        <v>3</v>
      </c>
      <c r="D20" s="13">
        <v>4300</v>
      </c>
      <c r="E20" s="13">
        <f>C20*D20</f>
        <v>12900</v>
      </c>
      <c r="F20" s="14"/>
      <c r="G20" s="28"/>
      <c r="H20" s="14"/>
      <c r="I20" s="14"/>
      <c r="J20" s="14"/>
      <c r="K20" s="14"/>
    </row>
    <row r="21" spans="1:43" ht="28.5" customHeight="1" x14ac:dyDescent="0.25">
      <c r="A21" s="10">
        <v>19</v>
      </c>
      <c r="B21" s="11" t="s">
        <v>19</v>
      </c>
      <c r="C21" s="12">
        <v>2</v>
      </c>
      <c r="D21" s="13">
        <v>4700</v>
      </c>
      <c r="E21" s="13">
        <f t="shared" ref="E21:E37" si="1">C21*D21</f>
        <v>9400</v>
      </c>
      <c r="F21" s="14"/>
      <c r="G21" s="28"/>
      <c r="H21" s="14"/>
      <c r="I21" s="14"/>
      <c r="J21" s="14"/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</row>
    <row r="22" spans="1:43" ht="28.5" customHeight="1" x14ac:dyDescent="0.25">
      <c r="A22" s="10">
        <v>20</v>
      </c>
      <c r="B22" s="11" t="s">
        <v>20</v>
      </c>
      <c r="C22" s="12">
        <v>5</v>
      </c>
      <c r="D22" s="13">
        <v>3500</v>
      </c>
      <c r="E22" s="13">
        <f t="shared" si="1"/>
        <v>17500</v>
      </c>
      <c r="F22" s="14"/>
      <c r="G22" s="28"/>
      <c r="H22" s="14"/>
      <c r="I22" s="14"/>
      <c r="J22" s="14"/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</row>
    <row r="23" spans="1:43" ht="28.5" customHeight="1" x14ac:dyDescent="0.25">
      <c r="A23" s="10">
        <v>21</v>
      </c>
      <c r="B23" s="11" t="s">
        <v>21</v>
      </c>
      <c r="C23" s="12">
        <v>1</v>
      </c>
      <c r="D23" s="13">
        <v>3500</v>
      </c>
      <c r="E23" s="13">
        <f t="shared" si="1"/>
        <v>3500</v>
      </c>
      <c r="F23" s="14"/>
      <c r="G23" s="28"/>
      <c r="H23" s="14"/>
      <c r="I23" s="14"/>
      <c r="J23" s="14"/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</row>
    <row r="24" spans="1:43" ht="28.5" customHeight="1" x14ac:dyDescent="0.25">
      <c r="A24" s="10">
        <v>22</v>
      </c>
      <c r="B24" s="11" t="s">
        <v>22</v>
      </c>
      <c r="C24" s="12">
        <v>1</v>
      </c>
      <c r="D24" s="13">
        <v>5300</v>
      </c>
      <c r="E24" s="13">
        <f t="shared" si="1"/>
        <v>5300</v>
      </c>
      <c r="F24" s="14"/>
      <c r="G24" s="28"/>
      <c r="H24" s="14"/>
      <c r="I24" s="14"/>
      <c r="J24" s="14"/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</row>
    <row r="25" spans="1:43" ht="28.5" customHeight="1" x14ac:dyDescent="0.25">
      <c r="A25" s="10">
        <v>23</v>
      </c>
      <c r="B25" s="11" t="s">
        <v>23</v>
      </c>
      <c r="C25" s="12">
        <v>1</v>
      </c>
      <c r="D25" s="13">
        <v>7145</v>
      </c>
      <c r="E25" s="13">
        <f t="shared" si="1"/>
        <v>7145</v>
      </c>
      <c r="F25" s="14"/>
      <c r="G25" s="28"/>
      <c r="H25" s="14"/>
      <c r="I25" s="14"/>
      <c r="J25" s="14"/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</row>
    <row r="26" spans="1:43" ht="28.5" customHeight="1" x14ac:dyDescent="0.25">
      <c r="A26" s="10">
        <v>24</v>
      </c>
      <c r="B26" s="11" t="s">
        <v>24</v>
      </c>
      <c r="C26" s="12">
        <v>1</v>
      </c>
      <c r="D26" s="13">
        <v>3495</v>
      </c>
      <c r="E26" s="13">
        <f t="shared" si="1"/>
        <v>3495</v>
      </c>
      <c r="F26" s="14"/>
      <c r="G26" s="28"/>
      <c r="H26" s="14"/>
      <c r="I26" s="14"/>
      <c r="J26" s="14"/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</row>
    <row r="27" spans="1:43" ht="28.5" customHeight="1" x14ac:dyDescent="0.25">
      <c r="A27" s="10">
        <v>25</v>
      </c>
      <c r="B27" s="11" t="s">
        <v>25</v>
      </c>
      <c r="C27" s="12">
        <v>1</v>
      </c>
      <c r="D27" s="13">
        <v>1645</v>
      </c>
      <c r="E27" s="13">
        <f t="shared" si="1"/>
        <v>1645</v>
      </c>
      <c r="F27" s="14"/>
      <c r="G27" s="28"/>
      <c r="H27" s="14"/>
      <c r="I27" s="14"/>
      <c r="J27" s="14"/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</row>
    <row r="28" spans="1:43" ht="28.5" customHeight="1" x14ac:dyDescent="0.25">
      <c r="A28" s="10">
        <v>26</v>
      </c>
      <c r="B28" s="11" t="s">
        <v>26</v>
      </c>
      <c r="C28" s="12">
        <v>1</v>
      </c>
      <c r="D28" s="13">
        <v>2995</v>
      </c>
      <c r="E28" s="13">
        <f t="shared" si="1"/>
        <v>2995</v>
      </c>
      <c r="F28" s="14"/>
      <c r="G28" s="28"/>
      <c r="H28" s="14"/>
      <c r="I28" s="14"/>
      <c r="J28" s="14"/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</row>
    <row r="29" spans="1:43" ht="28.5" customHeight="1" x14ac:dyDescent="0.25">
      <c r="A29" s="10">
        <v>27</v>
      </c>
      <c r="B29" s="11" t="s">
        <v>27</v>
      </c>
      <c r="C29" s="12">
        <v>1</v>
      </c>
      <c r="D29" s="13">
        <v>4800</v>
      </c>
      <c r="E29" s="13">
        <f t="shared" si="1"/>
        <v>4800</v>
      </c>
      <c r="F29" s="14"/>
      <c r="G29" s="28"/>
      <c r="H29" s="14"/>
      <c r="I29" s="14"/>
      <c r="J29" s="14"/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</row>
    <row r="30" spans="1:43" ht="28.5" customHeight="1" x14ac:dyDescent="0.25">
      <c r="A30" s="10">
        <v>28</v>
      </c>
      <c r="B30" s="11" t="s">
        <v>28</v>
      </c>
      <c r="C30" s="12">
        <v>1</v>
      </c>
      <c r="D30" s="13">
        <v>3995</v>
      </c>
      <c r="E30" s="13">
        <f t="shared" si="1"/>
        <v>3995</v>
      </c>
      <c r="F30" s="14"/>
      <c r="G30" s="28"/>
      <c r="H30" s="14"/>
      <c r="I30" s="14"/>
      <c r="J30" s="14"/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</row>
    <row r="31" spans="1:43" ht="28.5" customHeight="1" x14ac:dyDescent="0.25">
      <c r="A31" s="10">
        <v>29</v>
      </c>
      <c r="B31" s="11" t="s">
        <v>29</v>
      </c>
      <c r="C31" s="12">
        <v>1</v>
      </c>
      <c r="D31" s="13">
        <v>8095</v>
      </c>
      <c r="E31" s="13">
        <f t="shared" si="1"/>
        <v>8095</v>
      </c>
      <c r="F31" s="14"/>
      <c r="G31" s="28"/>
      <c r="H31" s="14"/>
      <c r="I31" s="14"/>
      <c r="J31" s="14"/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</row>
    <row r="32" spans="1:43" ht="28.5" customHeight="1" x14ac:dyDescent="0.25">
      <c r="A32" s="10">
        <v>30</v>
      </c>
      <c r="B32" s="11" t="s">
        <v>30</v>
      </c>
      <c r="C32" s="12">
        <v>1</v>
      </c>
      <c r="D32" s="13">
        <v>2300</v>
      </c>
      <c r="E32" s="13">
        <f t="shared" si="1"/>
        <v>2300</v>
      </c>
      <c r="F32" s="14"/>
      <c r="G32" s="28"/>
      <c r="H32" s="14"/>
      <c r="I32" s="14"/>
      <c r="J32" s="14"/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</row>
    <row r="33" spans="1:43" ht="28.5" customHeight="1" x14ac:dyDescent="0.25">
      <c r="A33" s="10">
        <v>31</v>
      </c>
      <c r="B33" s="11" t="s">
        <v>31</v>
      </c>
      <c r="C33" s="12">
        <v>1</v>
      </c>
      <c r="D33" s="13">
        <v>5394</v>
      </c>
      <c r="E33" s="13">
        <f t="shared" si="1"/>
        <v>5394</v>
      </c>
      <c r="F33" s="14"/>
      <c r="G33" s="28"/>
      <c r="H33" s="14"/>
      <c r="I33" s="14"/>
      <c r="J33" s="14"/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</row>
    <row r="34" spans="1:43" ht="28.5" customHeight="1" x14ac:dyDescent="0.25">
      <c r="A34" s="10">
        <v>32</v>
      </c>
      <c r="B34" s="11" t="s">
        <v>32</v>
      </c>
      <c r="C34" s="12">
        <v>1</v>
      </c>
      <c r="D34" s="13">
        <v>5214</v>
      </c>
      <c r="E34" s="13">
        <f t="shared" si="1"/>
        <v>5214</v>
      </c>
      <c r="F34" s="14"/>
      <c r="G34" s="28"/>
      <c r="H34" s="14"/>
      <c r="I34" s="14"/>
      <c r="J34" s="14"/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</row>
    <row r="35" spans="1:43" ht="28.5" customHeight="1" x14ac:dyDescent="0.25">
      <c r="A35" s="10">
        <v>33</v>
      </c>
      <c r="B35" s="11" t="s">
        <v>33</v>
      </c>
      <c r="C35" s="12">
        <v>5</v>
      </c>
      <c r="D35" s="13">
        <v>3845</v>
      </c>
      <c r="E35" s="13">
        <f t="shared" si="1"/>
        <v>19225</v>
      </c>
      <c r="F35" s="14"/>
      <c r="G35" s="28"/>
      <c r="H35" s="14"/>
      <c r="I35" s="14"/>
      <c r="J35" s="14"/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</row>
    <row r="36" spans="1:43" ht="28.5" customHeight="1" x14ac:dyDescent="0.25">
      <c r="A36" s="10">
        <v>34</v>
      </c>
      <c r="B36" s="11" t="s">
        <v>34</v>
      </c>
      <c r="C36" s="12">
        <v>5</v>
      </c>
      <c r="D36" s="13">
        <v>3845</v>
      </c>
      <c r="E36" s="13">
        <f t="shared" si="1"/>
        <v>19225</v>
      </c>
      <c r="F36" s="14"/>
      <c r="G36" s="28"/>
      <c r="H36" s="14"/>
      <c r="I36" s="14"/>
      <c r="J36" s="14"/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</row>
    <row r="37" spans="1:43" ht="28.5" customHeight="1" x14ac:dyDescent="0.25">
      <c r="A37" s="10">
        <v>35</v>
      </c>
      <c r="B37" s="11" t="s">
        <v>35</v>
      </c>
      <c r="C37" s="12">
        <v>3</v>
      </c>
      <c r="D37" s="13">
        <v>3845</v>
      </c>
      <c r="E37" s="13">
        <f t="shared" si="1"/>
        <v>11535</v>
      </c>
      <c r="F37" s="14"/>
      <c r="G37" s="28"/>
      <c r="H37" s="14"/>
      <c r="I37" s="14"/>
      <c r="J37" s="14"/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</row>
    <row r="38" spans="1:43" ht="28.5" customHeight="1" x14ac:dyDescent="0.25">
      <c r="C38" s="15"/>
      <c r="D38" s="15"/>
      <c r="E38" s="15"/>
      <c r="F38" s="16" t="s">
        <v>17</v>
      </c>
      <c r="G38" s="29">
        <f>SUM(E39)</f>
        <v>25000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</row>
    <row r="39" spans="1:43" ht="28.5" customHeight="1" x14ac:dyDescent="0.25">
      <c r="A39" s="17">
        <v>36</v>
      </c>
      <c r="B39" s="17" t="s">
        <v>37</v>
      </c>
      <c r="C39" s="18">
        <v>1</v>
      </c>
      <c r="D39" s="19">
        <v>25000</v>
      </c>
      <c r="E39" s="19">
        <f>C39*D39</f>
        <v>25000</v>
      </c>
    </row>
    <row r="40" spans="1:43" ht="28.5" customHeight="1" x14ac:dyDescent="0.25">
      <c r="F40" s="20" t="s">
        <v>17</v>
      </c>
      <c r="G40" s="30">
        <f>SUM(E41:E62)</f>
        <v>286485</v>
      </c>
    </row>
    <row r="41" spans="1:43" ht="28.5" customHeight="1" x14ac:dyDescent="0.25">
      <c r="A41" s="20">
        <v>37</v>
      </c>
      <c r="B41" s="1" t="s">
        <v>38</v>
      </c>
      <c r="C41" s="2">
        <v>1</v>
      </c>
      <c r="D41" s="3">
        <v>10995</v>
      </c>
      <c r="E41" s="21">
        <f>C41*D41</f>
        <v>10995</v>
      </c>
    </row>
    <row r="42" spans="1:43" ht="28.5" customHeight="1" x14ac:dyDescent="0.25">
      <c r="A42" s="20">
        <v>38</v>
      </c>
      <c r="B42" s="1" t="s">
        <v>39</v>
      </c>
      <c r="C42" s="2">
        <v>10</v>
      </c>
      <c r="D42" s="3">
        <v>3460</v>
      </c>
      <c r="E42" s="21">
        <f t="shared" ref="E42:E62" si="2">C42*D42</f>
        <v>34600</v>
      </c>
    </row>
    <row r="43" spans="1:43" ht="28.5" customHeight="1" x14ac:dyDescent="0.25">
      <c r="A43" s="20">
        <v>39</v>
      </c>
      <c r="B43" s="1" t="s">
        <v>40</v>
      </c>
      <c r="C43" s="2">
        <v>5</v>
      </c>
      <c r="D43" s="3">
        <v>2415</v>
      </c>
      <c r="E43" s="21">
        <f t="shared" si="2"/>
        <v>12075</v>
      </c>
    </row>
    <row r="44" spans="1:43" ht="28.5" customHeight="1" x14ac:dyDescent="0.25">
      <c r="A44" s="20">
        <v>40</v>
      </c>
      <c r="B44" s="1" t="s">
        <v>41</v>
      </c>
      <c r="C44" s="2">
        <v>5</v>
      </c>
      <c r="D44" s="3">
        <v>2415</v>
      </c>
      <c r="E44" s="21">
        <f t="shared" si="2"/>
        <v>12075</v>
      </c>
    </row>
    <row r="45" spans="1:43" ht="28.5" customHeight="1" x14ac:dyDescent="0.25">
      <c r="A45" s="20">
        <v>41</v>
      </c>
      <c r="B45" s="1" t="s">
        <v>42</v>
      </c>
      <c r="C45" s="2">
        <v>1</v>
      </c>
      <c r="D45" s="3">
        <v>3020</v>
      </c>
      <c r="E45" s="21">
        <f t="shared" si="2"/>
        <v>3020</v>
      </c>
    </row>
    <row r="46" spans="1:43" ht="28.5" customHeight="1" x14ac:dyDescent="0.25">
      <c r="A46" s="20">
        <v>42</v>
      </c>
      <c r="B46" s="1" t="s">
        <v>43</v>
      </c>
      <c r="C46" s="2">
        <v>1</v>
      </c>
      <c r="D46" s="3">
        <v>1945</v>
      </c>
      <c r="E46" s="21">
        <f t="shared" si="2"/>
        <v>1945</v>
      </c>
    </row>
    <row r="47" spans="1:43" ht="28.5" customHeight="1" x14ac:dyDescent="0.25">
      <c r="A47" s="20">
        <v>43</v>
      </c>
      <c r="B47" s="1" t="s">
        <v>44</v>
      </c>
      <c r="C47" s="2">
        <v>1</v>
      </c>
      <c r="D47" s="3">
        <v>3570</v>
      </c>
      <c r="E47" s="21">
        <f t="shared" si="2"/>
        <v>3570</v>
      </c>
    </row>
    <row r="48" spans="1:43" ht="28.5" customHeight="1" x14ac:dyDescent="0.25">
      <c r="A48" s="20">
        <v>44</v>
      </c>
      <c r="B48" s="1" t="s">
        <v>45</v>
      </c>
      <c r="C48" s="2">
        <v>1</v>
      </c>
      <c r="D48" s="3">
        <v>5440</v>
      </c>
      <c r="E48" s="21">
        <f t="shared" si="2"/>
        <v>5440</v>
      </c>
    </row>
    <row r="49" spans="1:5" ht="28.5" customHeight="1" x14ac:dyDescent="0.25">
      <c r="A49" s="20">
        <v>45</v>
      </c>
      <c r="B49" s="1" t="s">
        <v>46</v>
      </c>
      <c r="C49" s="2">
        <v>10</v>
      </c>
      <c r="D49" s="3">
        <v>2525</v>
      </c>
      <c r="E49" s="21">
        <f t="shared" si="2"/>
        <v>25250</v>
      </c>
    </row>
    <row r="50" spans="1:5" ht="28.5" customHeight="1" x14ac:dyDescent="0.25">
      <c r="A50" s="20">
        <v>46</v>
      </c>
      <c r="B50" s="1" t="s">
        <v>47</v>
      </c>
      <c r="C50" s="2">
        <v>5</v>
      </c>
      <c r="D50" s="3">
        <v>2525</v>
      </c>
      <c r="E50" s="21">
        <f t="shared" si="2"/>
        <v>12625</v>
      </c>
    </row>
    <row r="51" spans="1:5" ht="28.5" customHeight="1" x14ac:dyDescent="0.25">
      <c r="A51" s="20">
        <v>47</v>
      </c>
      <c r="B51" s="1" t="s">
        <v>48</v>
      </c>
      <c r="C51" s="2">
        <v>5</v>
      </c>
      <c r="D51" s="3">
        <v>3460</v>
      </c>
      <c r="E51" s="21">
        <f t="shared" si="2"/>
        <v>17300</v>
      </c>
    </row>
    <row r="52" spans="1:5" ht="28.5" customHeight="1" x14ac:dyDescent="0.25">
      <c r="A52" s="20">
        <v>48</v>
      </c>
      <c r="B52" s="1" t="s">
        <v>49</v>
      </c>
      <c r="C52" s="2">
        <v>2</v>
      </c>
      <c r="D52" s="3">
        <v>3570</v>
      </c>
      <c r="E52" s="21">
        <f t="shared" si="2"/>
        <v>7140</v>
      </c>
    </row>
    <row r="53" spans="1:5" ht="28.5" customHeight="1" x14ac:dyDescent="0.25">
      <c r="A53" s="20">
        <v>49</v>
      </c>
      <c r="B53" s="1" t="s">
        <v>50</v>
      </c>
      <c r="C53" s="2">
        <v>2</v>
      </c>
      <c r="D53" s="3">
        <v>2690</v>
      </c>
      <c r="E53" s="21">
        <f t="shared" si="2"/>
        <v>5380</v>
      </c>
    </row>
    <row r="54" spans="1:5" ht="28.5" customHeight="1" x14ac:dyDescent="0.25">
      <c r="A54" s="20">
        <v>50</v>
      </c>
      <c r="B54" s="1" t="s">
        <v>51</v>
      </c>
      <c r="C54" s="2">
        <v>3</v>
      </c>
      <c r="D54" s="3">
        <v>2525</v>
      </c>
      <c r="E54" s="21">
        <f t="shared" si="2"/>
        <v>7575</v>
      </c>
    </row>
    <row r="55" spans="1:5" ht="28.5" customHeight="1" x14ac:dyDescent="0.25">
      <c r="A55" s="20">
        <v>51</v>
      </c>
      <c r="B55" s="1" t="s">
        <v>52</v>
      </c>
      <c r="C55" s="2">
        <v>2</v>
      </c>
      <c r="D55" s="3">
        <v>3735</v>
      </c>
      <c r="E55" s="21">
        <f t="shared" si="2"/>
        <v>7470</v>
      </c>
    </row>
    <row r="56" spans="1:5" ht="28.5" customHeight="1" x14ac:dyDescent="0.25">
      <c r="A56" s="20">
        <v>52</v>
      </c>
      <c r="B56" s="1" t="s">
        <v>53</v>
      </c>
      <c r="C56" s="2">
        <v>3</v>
      </c>
      <c r="D56" s="3">
        <v>3460</v>
      </c>
      <c r="E56" s="21">
        <f t="shared" si="2"/>
        <v>10380</v>
      </c>
    </row>
    <row r="57" spans="1:5" ht="28.5" customHeight="1" x14ac:dyDescent="0.25">
      <c r="A57" s="20">
        <v>53</v>
      </c>
      <c r="B57" s="1" t="s">
        <v>54</v>
      </c>
      <c r="C57" s="2">
        <v>4</v>
      </c>
      <c r="D57" s="3">
        <v>4395</v>
      </c>
      <c r="E57" s="21">
        <f t="shared" si="2"/>
        <v>17580</v>
      </c>
    </row>
    <row r="58" spans="1:5" ht="28.5" customHeight="1" x14ac:dyDescent="0.25">
      <c r="A58" s="20">
        <v>54</v>
      </c>
      <c r="B58" s="1" t="s">
        <v>55</v>
      </c>
      <c r="C58" s="2">
        <v>2</v>
      </c>
      <c r="D58" s="3">
        <v>4395</v>
      </c>
      <c r="E58" s="21">
        <f t="shared" si="2"/>
        <v>8790</v>
      </c>
    </row>
    <row r="59" spans="1:5" ht="28.5" customHeight="1" x14ac:dyDescent="0.25">
      <c r="A59" s="20">
        <v>55</v>
      </c>
      <c r="B59" s="1" t="s">
        <v>56</v>
      </c>
      <c r="C59" s="2">
        <v>5</v>
      </c>
      <c r="D59" s="3">
        <v>4395</v>
      </c>
      <c r="E59" s="21">
        <f t="shared" si="2"/>
        <v>21975</v>
      </c>
    </row>
    <row r="60" spans="1:5" ht="28.5" customHeight="1" x14ac:dyDescent="0.25">
      <c r="A60" s="20">
        <v>56</v>
      </c>
      <c r="B60" s="1" t="s">
        <v>57</v>
      </c>
      <c r="C60" s="2">
        <v>2</v>
      </c>
      <c r="D60" s="3">
        <v>5160</v>
      </c>
      <c r="E60" s="21">
        <f t="shared" si="2"/>
        <v>10320</v>
      </c>
    </row>
    <row r="61" spans="1:5" ht="28.5" customHeight="1" x14ac:dyDescent="0.25">
      <c r="A61" s="20">
        <v>57</v>
      </c>
      <c r="B61" s="1" t="s">
        <v>58</v>
      </c>
      <c r="C61" s="2">
        <v>2</v>
      </c>
      <c r="D61" s="3">
        <v>11210</v>
      </c>
      <c r="E61" s="21">
        <f t="shared" si="2"/>
        <v>22420</v>
      </c>
    </row>
    <row r="62" spans="1:5" ht="28.5" customHeight="1" x14ac:dyDescent="0.25">
      <c r="A62" s="20">
        <v>58</v>
      </c>
      <c r="B62" s="1" t="s">
        <v>59</v>
      </c>
      <c r="C62" s="2">
        <v>4</v>
      </c>
      <c r="D62" s="3">
        <v>7140</v>
      </c>
      <c r="E62" s="21">
        <f t="shared" si="2"/>
        <v>28560</v>
      </c>
    </row>
    <row r="63" spans="1:5" ht="28.5" customHeight="1" x14ac:dyDescent="0.25">
      <c r="A63" s="4">
        <v>59</v>
      </c>
    </row>
    <row r="64" spans="1:5" ht="28.5" customHeight="1" x14ac:dyDescent="0.25">
      <c r="A64" s="4">
        <v>60</v>
      </c>
    </row>
    <row r="65" spans="1:1" ht="28.5" customHeight="1" x14ac:dyDescent="0.25">
      <c r="A65" s="4">
        <v>61</v>
      </c>
    </row>
    <row r="66" spans="1:1" ht="28.5" customHeight="1" x14ac:dyDescent="0.25">
      <c r="A66" s="4">
        <v>62</v>
      </c>
    </row>
    <row r="67" spans="1:1" ht="28.5" customHeight="1" x14ac:dyDescent="0.25">
      <c r="A67" s="4">
        <v>63</v>
      </c>
    </row>
    <row r="68" spans="1:1" ht="28.5" customHeight="1" x14ac:dyDescent="0.25">
      <c r="A68" s="4">
        <v>64</v>
      </c>
    </row>
    <row r="69" spans="1:1" ht="28.5" customHeight="1" x14ac:dyDescent="0.25">
      <c r="A69" s="4">
        <v>65</v>
      </c>
    </row>
    <row r="70" spans="1:1" ht="28.5" customHeight="1" x14ac:dyDescent="0.25">
      <c r="A70" s="4">
        <v>66</v>
      </c>
    </row>
    <row r="71" spans="1:1" ht="28.5" customHeight="1" x14ac:dyDescent="0.25">
      <c r="A71" s="4">
        <v>67</v>
      </c>
    </row>
    <row r="72" spans="1:1" ht="28.5" customHeight="1" x14ac:dyDescent="0.25">
      <c r="A72" s="4">
        <v>68</v>
      </c>
    </row>
    <row r="73" spans="1:1" ht="28.5" customHeight="1" x14ac:dyDescent="0.25">
      <c r="A73" s="4">
        <v>69</v>
      </c>
    </row>
    <row r="74" spans="1:1" ht="28.5" customHeight="1" x14ac:dyDescent="0.25">
      <c r="A74" s="4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</cp:lastModifiedBy>
  <dcterms:created xsi:type="dcterms:W3CDTF">2021-03-10T10:01:56Z</dcterms:created>
  <dcterms:modified xsi:type="dcterms:W3CDTF">2021-03-10T10:51:54Z</dcterms:modified>
</cp:coreProperties>
</file>