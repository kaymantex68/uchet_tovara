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Приход" sheetId="1" r:id="rId4"/>
    <sheet name="Расчеты" sheetId="2" r:id="rId5"/>
    <sheet name="Лист2" sheetId="3" r:id="rId6"/>
  </sheets>
</workbook>
</file>

<file path=xl/sharedStrings.xml><?xml version="1.0" encoding="utf-8"?>
<sst xmlns="http://schemas.openxmlformats.org/spreadsheetml/2006/main" uniqueCount="78">
  <si>
    <t>сумма:</t>
  </si>
  <si>
    <t>сумма закупки:</t>
  </si>
  <si>
    <t>EZ-HAC-B2A41P-0280B-DIP Видеокамера HDCVI купольная, 1/2.7" 4Мп</t>
  </si>
  <si>
    <t>взято на закупку:</t>
  </si>
  <si>
    <t>EZ-HAC-B6B20P-LED-0360B Видеокамера HDCVI цилиндрическая, 1/2.8" 2Мп</t>
  </si>
  <si>
    <t>остаток:</t>
  </si>
  <si>
    <t>EZ-HAC-D1A21P-0280B 2Мп HD-CVI камера видеонаблюдения</t>
  </si>
  <si>
    <t>EZ-HAC-D1A41P-0280B 4Мп HDCVI видеокамера</t>
  </si>
  <si>
    <t>EZ-HAC-D1A41P-0360B 4Мп HDCVI видеокамера</t>
  </si>
  <si>
    <t>EZ-HAC-T2A11P-0280B Видеокамера HDCVI купольная, 1/2.7" 1Мп</t>
  </si>
  <si>
    <t>EZ-HAC-T2A21P-0280B 2Мп Видеокамера HDCVI купольная</t>
  </si>
  <si>
    <t>EZ-HAC-T5B20P-A-0280B Видеокамера HDCVI купольная, 1/2.7" 2Мп</t>
  </si>
  <si>
    <t>EZ-HAC-T6B20P-LED-0280B Видеокамера HDCVI купольная, 2Мп</t>
  </si>
  <si>
    <t>EZ-IPC-B1B20P-0360B IP-видеокамера</t>
  </si>
  <si>
    <t>EZ-NVR1B04 4-канальный сетевой видеорегистратор</t>
  </si>
  <si>
    <t>EZ-NVR1B04HC/E Видеорегистратор наблюдения Dahua</t>
  </si>
  <si>
    <t>EZ-NVR1B08HS Видеорегистратор наблюдения</t>
  </si>
  <si>
    <t>EZ-NVR2B16 IP видеорегистратор Dahua</t>
  </si>
  <si>
    <t>EZ-XVR1B04H Гибридный регистратор</t>
  </si>
  <si>
    <t>EZ-XVR1B08H Гибридный регистратор</t>
  </si>
  <si>
    <t>EZ-XVR1B16H Гибридный регистратор</t>
  </si>
  <si>
    <t>IP-видеокамера купольная антивандальная DH-IPC-HDBW1431EP-S-0360B</t>
  </si>
  <si>
    <t>DH-IPC-HDBW4231FP-AS-0280B 2Мп IP видеокамера</t>
  </si>
  <si>
    <t>Миниатюрная IP видеокамера DH-IPC-K35AP 3MP c POE</t>
  </si>
  <si>
    <t>IP-видеокамера DH-IPC-K35P для системы видеонаблюдения</t>
  </si>
  <si>
    <t>Уличная поворотная купольная HDCVI видеокамера  DH-SD22204I-GC для систем видеонаблюдения</t>
  </si>
  <si>
    <t>DHI-VTH1550CH Монитор IP домофона DAHUA цветной сенсорный</t>
  </si>
  <si>
    <t>DHI-ASI1201A-D контролер</t>
  </si>
  <si>
    <t>DH-ASR1101A-D RFID считыватель</t>
  </si>
  <si>
    <t>IP видеорегистратор DHI-NVR2104-4KS2</t>
  </si>
  <si>
    <t>IP видеорегистратор DHI-NVR2104-W-4KS2</t>
  </si>
  <si>
    <t>IP видеорегистратор DHI-NVR2108-4KS2</t>
  </si>
  <si>
    <t>16-канальный 4K сетевой видеорегистратор Dahua DH-NVR4216-4KS2</t>
  </si>
  <si>
    <t>DHI-VTH2201DW Аудиодомофон DAHUA</t>
  </si>
  <si>
    <t>DH-IPC-B2B20-ZS IP видеокамера Dahua</t>
  </si>
  <si>
    <t>DH-IPC-D2B20-ZS IP видеокамера Dahua</t>
  </si>
  <si>
    <t>IP видеокамера купольная DH-IPC-HDW2230TP-AS-0280B</t>
  </si>
  <si>
    <t>DH-IPC-HFW2230SP-S-0280B Видеокамера IP Уличная цилиндрическая 2Mп</t>
  </si>
  <si>
    <t>Видеокамера IP Уличная цилиндрическая 2Mп DH-IPC-HFW2230SP-S-0360B</t>
  </si>
  <si>
    <t xml:space="preserve">Замки </t>
  </si>
  <si>
    <t xml:space="preserve">HiWatch DS-N332/2(B) 32-х канальный IP-регистратор                                                </t>
  </si>
  <si>
    <t>HiWatch DS-I250 (2.8 mm) 2Мп уличная цилиндрическая IP-камера</t>
  </si>
  <si>
    <t>HiWatch IPC-B020 (2.8mm) 2Мп уличная цилиндрическая IP-камера</t>
  </si>
  <si>
    <t>HiWatch IPC-T020 (2.8mm) 2Мп уличная купольная IP-камера</t>
  </si>
  <si>
    <t xml:space="preserve">HiWatch DS-S908P(B) Сетевой неуправляемый коммутатор                                              </t>
  </si>
  <si>
    <t>HiWatch DS-S604P Сетевой неуправляемый коммутатор</t>
  </si>
  <si>
    <t>HiWatch DS-D100MF 7" цветной TFT монитор 800х480 c памятью до 200 снимков</t>
  </si>
  <si>
    <t>HiWatch DS-D100KF Комплект аналогового видеодомофона c памятью до 200 снимков</t>
  </si>
  <si>
    <t>HiWatch DS-I200 (C) (2.8 mm) 2Мп уличная цилиндрическая IP-камера с EXIR-подсветкой</t>
  </si>
  <si>
    <t>HiWatch DS-I200 (C) (4 mm) 2Мп уличная цилиндрическая IP-камера с EXIR-подсветкой</t>
  </si>
  <si>
    <t>HiWatch DS-I250 (4 mm) 2Мп уличная цилиндрическая IP-камера</t>
  </si>
  <si>
    <t xml:space="preserve">HiWatch DS-I252 (6 mm) 2Мп уличная купольная IP-камера </t>
  </si>
  <si>
    <t>HiWatch DS-I202 (C) (2.8 mm) 2Мп уличная купольная мини IP-камера</t>
  </si>
  <si>
    <t xml:space="preserve">HiWatch DS-I203 (C) (2.8 mm) 2Мп уличная IP-камера с EXIR-подсветкой </t>
  </si>
  <si>
    <t>HiWatch DS-I253M (4 mm) 2Мп уличная IP-камера с EXIR-подсветкой</t>
  </si>
  <si>
    <t>HiWatch DS-I400(B) (2.8 mm) 4Мп уличная цилиндрическая IP-камера</t>
  </si>
  <si>
    <t>HiWatch DS-I450 (2.8 mm) 4Мп уличная цилиндрическая IP-камера с EXIR-подсветкой до 30м</t>
  </si>
  <si>
    <t>HiWatch DS-I450 (4 mm) 4Мп уличная цилиндрическая IP-камера с EXIR-подсветкой до 30м</t>
  </si>
  <si>
    <t>HiWatch DS-I453 (2.8 mm) 4Мп уличная купольная мини IP-камера с EXIR-подсветкой до 30м</t>
  </si>
  <si>
    <t>HiWatch DS-N204(B) 4-х канальный IP-регистратор</t>
  </si>
  <si>
    <t>HiWatch DS-N316(B) 16-ти канальный IP-регистратор</t>
  </si>
  <si>
    <t>HiWatch DS-N208(B) 8-ми канальный IP-регистратор</t>
  </si>
  <si>
    <t>Tаблица 1</t>
  </si>
  <si>
    <t>Розница</t>
  </si>
  <si>
    <t>Приращение</t>
  </si>
  <si>
    <t>Сумма приращение</t>
  </si>
  <si>
    <t xml:space="preserve">Средняя скидка </t>
  </si>
  <si>
    <t xml:space="preserve">Сумма со скидкой </t>
  </si>
  <si>
    <t>Возврат на склад</t>
  </si>
  <si>
    <t>Возврат на склад:</t>
  </si>
  <si>
    <t>С 25% скидки</t>
  </si>
  <si>
    <t>Сумма по рознице:</t>
  </si>
  <si>
    <t>Сумма закупки</t>
  </si>
  <si>
    <t>Сумма возврата на склад:</t>
  </si>
  <si>
    <t>Сумма продаж со средней скидкой</t>
  </si>
  <si>
    <t>Разница на фирме</t>
  </si>
  <si>
    <t>Разница на фирме через приращение</t>
  </si>
  <si>
    <t>Процент приращения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</si>
</sst>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1"/>
      <color indexed="8"/>
      <name val="Calibri"/>
    </font>
    <font>
      <sz val="12"/>
      <color indexed="8"/>
      <name val="Helvetica Neue"/>
    </font>
    <font>
      <sz val="14"/>
      <color indexed="8"/>
      <name val="Calibri"/>
    </font>
    <font>
      <sz val="10"/>
      <color indexed="8"/>
      <name val="Tahoma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</fills>
  <borders count="5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thin">
        <color indexed="9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/>
      <top style="thin">
        <color indexed="9"/>
      </top>
      <bottom style="thin">
        <color indexed="17"/>
      </bottom>
      <diagonal/>
    </border>
    <border>
      <left/>
      <right/>
      <top style="thin">
        <color indexed="9"/>
      </top>
      <bottom/>
      <diagonal/>
    </border>
    <border>
      <left/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9"/>
      </top>
      <bottom style="thin">
        <color indexed="17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/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/>
      <top style="thin">
        <color indexed="17"/>
      </top>
      <bottom style="thin">
        <color indexed="18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20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20"/>
      </bottom>
      <diagonal/>
    </border>
    <border>
      <left style="thin">
        <color indexed="18"/>
      </left>
      <right/>
      <top/>
      <bottom/>
      <diagonal/>
    </border>
    <border>
      <left/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22"/>
      </bottom>
      <diagonal/>
    </border>
    <border>
      <left style="thin">
        <color indexed="9"/>
      </left>
      <right/>
      <top/>
      <bottom/>
      <diagonal/>
    </border>
    <border>
      <left/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20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/>
      <diagonal/>
    </border>
    <border>
      <left style="thin">
        <color indexed="17"/>
      </left>
      <right style="thin">
        <color indexed="17"/>
      </right>
      <top style="thin">
        <color indexed="22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22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9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17"/>
      </right>
      <top/>
      <bottom/>
      <diagonal/>
    </border>
    <border>
      <left style="thin">
        <color indexed="17"/>
      </left>
      <right/>
      <top/>
      <bottom/>
      <diagonal/>
    </border>
    <border>
      <left/>
      <right/>
      <top style="thin">
        <color indexed="17"/>
      </top>
      <bottom/>
      <diagonal/>
    </border>
    <border>
      <left/>
      <right style="thin">
        <color indexed="17"/>
      </right>
      <top/>
      <bottom/>
      <diagonal/>
    </border>
    <border>
      <left style="thin">
        <color indexed="9"/>
      </left>
      <right style="thin">
        <color indexed="22"/>
      </right>
      <top/>
      <bottom style="thin">
        <color indexed="17"/>
      </bottom>
      <diagonal/>
    </border>
    <border>
      <left style="thin">
        <color indexed="22"/>
      </left>
      <right style="thin">
        <color indexed="17"/>
      </right>
      <top/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17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9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6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center"/>
    </xf>
    <xf numFmtId="0" fontId="0" fillId="2" borderId="2" applyNumberFormat="0" applyFont="1" applyFill="1" applyBorder="1" applyAlignment="1" applyProtection="0">
      <alignment vertical="center"/>
    </xf>
    <xf numFmtId="49" fontId="0" fillId="3" borderId="3" applyNumberFormat="1" applyFont="1" applyFill="1" applyBorder="1" applyAlignment="1" applyProtection="0">
      <alignment vertical="center"/>
    </xf>
    <xf numFmtId="2" fontId="0" fillId="3" borderId="3" applyNumberFormat="1" applyFont="1" applyFill="1" applyBorder="1" applyAlignment="1" applyProtection="0">
      <alignment vertical="center"/>
    </xf>
    <xf numFmtId="0" fontId="0" fillId="2" borderId="4" applyNumberFormat="0" applyFont="1" applyFill="1" applyBorder="1" applyAlignment="1" applyProtection="0">
      <alignment vertical="center"/>
    </xf>
    <xf numFmtId="49" fontId="0" fillId="4" borderId="3" applyNumberFormat="1" applyFont="1" applyFill="1" applyBorder="1" applyAlignment="1" applyProtection="0">
      <alignment vertical="center"/>
    </xf>
    <xf numFmtId="2" fontId="0" fillId="4" borderId="3" applyNumberFormat="1" applyFont="1" applyFill="1" applyBorder="1" applyAlignment="1" applyProtection="0">
      <alignment vertical="center"/>
    </xf>
    <xf numFmtId="0" fontId="0" fillId="2" borderId="5" applyNumberFormat="0" applyFont="1" applyFill="1" applyBorder="1" applyAlignment="1" applyProtection="0">
      <alignment vertical="center"/>
    </xf>
    <xf numFmtId="0" fontId="0" fillId="2" borderId="6" applyNumberFormat="0" applyFont="1" applyFill="1" applyBorder="1" applyAlignment="1" applyProtection="0">
      <alignment vertical="center"/>
    </xf>
    <xf numFmtId="0" fontId="0" fillId="3" borderId="7" applyNumberFormat="1" applyFont="1" applyFill="1" applyBorder="1" applyAlignment="1" applyProtection="0">
      <alignment vertical="center"/>
    </xf>
    <xf numFmtId="49" fontId="0" fillId="3" borderId="8" applyNumberFormat="1" applyFont="1" applyFill="1" applyBorder="1" applyAlignment="1" applyProtection="0">
      <alignment vertical="center"/>
    </xf>
    <xf numFmtId="0" fontId="0" fillId="3" borderId="8" applyNumberFormat="1" applyFont="1" applyFill="1" applyBorder="1" applyAlignment="1" applyProtection="0">
      <alignment vertical="center"/>
    </xf>
    <xf numFmtId="4" fontId="0" fillId="3" borderId="8" applyNumberFormat="1" applyFont="1" applyFill="1" applyBorder="1" applyAlignment="1" applyProtection="0">
      <alignment vertical="center"/>
    </xf>
    <xf numFmtId="0" fontId="0" fillId="2" borderId="9" applyNumberFormat="0" applyFont="1" applyFill="1" applyBorder="1" applyAlignment="1" applyProtection="0">
      <alignment vertical="center"/>
    </xf>
    <xf numFmtId="0" fontId="0" fillId="2" borderId="10" applyNumberFormat="0" applyFont="1" applyFill="1" applyBorder="1" applyAlignment="1" applyProtection="0">
      <alignment vertical="center"/>
    </xf>
    <xf numFmtId="49" fontId="0" fillId="2" borderId="11" applyNumberFormat="1" applyFont="1" applyFill="1" applyBorder="1" applyAlignment="1" applyProtection="0">
      <alignment vertical="center"/>
    </xf>
    <xf numFmtId="2" fontId="0" fillId="2" borderId="11" applyNumberFormat="1" applyFont="1" applyFill="1" applyBorder="1" applyAlignment="1" applyProtection="0">
      <alignment vertical="center"/>
    </xf>
    <xf numFmtId="0" fontId="0" fillId="2" borderId="12" applyNumberFormat="0" applyFont="1" applyFill="1" applyBorder="1" applyAlignment="1" applyProtection="0">
      <alignment vertical="center"/>
    </xf>
    <xf numFmtId="49" fontId="0" fillId="5" borderId="8" applyNumberFormat="1" applyFont="1" applyFill="1" applyBorder="1" applyAlignment="1" applyProtection="0">
      <alignment vertical="center"/>
    </xf>
    <xf numFmtId="2" fontId="0" fillId="5" borderId="8" applyNumberFormat="1" applyFont="1" applyFill="1" applyBorder="1" applyAlignment="1" applyProtection="0">
      <alignment vertical="center"/>
    </xf>
    <xf numFmtId="0" fontId="0" fillId="2" borderId="13" applyNumberFormat="0" applyFont="1" applyFill="1" applyBorder="1" applyAlignment="1" applyProtection="0">
      <alignment vertical="center"/>
    </xf>
    <xf numFmtId="0" fontId="0" fillId="2" borderId="11" applyNumberFormat="0" applyFont="1" applyFill="1" applyBorder="1" applyAlignment="1" applyProtection="0">
      <alignment vertical="center"/>
    </xf>
    <xf numFmtId="4" fontId="0" fillId="2" borderId="11" applyNumberFormat="1" applyFont="1" applyFill="1" applyBorder="1" applyAlignment="1" applyProtection="0">
      <alignment vertical="center"/>
    </xf>
    <xf numFmtId="0" fontId="0" fillId="2" borderId="7" applyNumberFormat="0" applyFont="1" applyFill="1" applyBorder="1" applyAlignment="1" applyProtection="0">
      <alignment vertical="center"/>
    </xf>
    <xf numFmtId="49" fontId="0" fillId="6" borderId="8" applyNumberFormat="1" applyFont="1" applyFill="1" applyBorder="1" applyAlignment="1" applyProtection="0">
      <alignment vertical="center"/>
    </xf>
    <xf numFmtId="2" fontId="0" fillId="6" borderId="8" applyNumberFormat="1" applyFont="1" applyFill="1" applyBorder="1" applyAlignment="1" applyProtection="0">
      <alignment vertical="center"/>
    </xf>
    <xf numFmtId="0" fontId="0" fillId="6" borderId="7" applyNumberFormat="1" applyFont="1" applyFill="1" applyBorder="1" applyAlignment="1" applyProtection="0">
      <alignment vertical="center"/>
    </xf>
    <xf numFmtId="49" fontId="0" fillId="6" borderId="8" applyNumberFormat="1" applyFont="1" applyFill="1" applyBorder="1" applyAlignment="1" applyProtection="0">
      <alignment vertical="center" wrapText="1"/>
    </xf>
    <xf numFmtId="1" fontId="3" fillId="6" borderId="8" applyNumberFormat="1" applyFont="1" applyFill="1" applyBorder="1" applyAlignment="1" applyProtection="0">
      <alignment horizontal="right" vertical="center"/>
    </xf>
    <xf numFmtId="4" fontId="3" fillId="6" borderId="8" applyNumberFormat="1" applyFont="1" applyFill="1" applyBorder="1" applyAlignment="1" applyProtection="0">
      <alignment horizontal="right" vertical="center"/>
    </xf>
    <xf numFmtId="4" fontId="3" fillId="2" borderId="9" applyNumberFormat="1" applyFont="1" applyFill="1" applyBorder="1" applyAlignment="1" applyProtection="0">
      <alignment horizontal="right" vertical="center"/>
    </xf>
    <xf numFmtId="2" fontId="3" fillId="2" borderId="10" applyNumberFormat="1" applyFont="1" applyFill="1" applyBorder="1" applyAlignment="1" applyProtection="0">
      <alignment horizontal="right" vertical="center"/>
    </xf>
    <xf numFmtId="4" fontId="3" fillId="2" borderId="6" applyNumberFormat="1" applyFont="1" applyFill="1" applyBorder="1" applyAlignment="1" applyProtection="0">
      <alignment horizontal="right" vertical="center"/>
    </xf>
    <xf numFmtId="4" fontId="3" fillId="2" borderId="5" applyNumberFormat="1" applyFont="1" applyFill="1" applyBorder="1" applyAlignment="1" applyProtection="0">
      <alignment horizontal="right" vertical="center"/>
    </xf>
    <xf numFmtId="2" fontId="3" fillId="2" borderId="6" applyNumberFormat="1" applyFont="1" applyFill="1" applyBorder="1" applyAlignment="1" applyProtection="0">
      <alignment horizontal="right" vertical="center"/>
    </xf>
    <xf numFmtId="0" fontId="0" fillId="2" borderId="6" applyNumberFormat="0" applyFont="1" applyFill="1" applyBorder="1" applyAlignment="1" applyProtection="0">
      <alignment vertical="center" wrapText="1"/>
    </xf>
    <xf numFmtId="4" fontId="3" fillId="2" borderId="13" applyNumberFormat="1" applyFont="1" applyFill="1" applyBorder="1" applyAlignment="1" applyProtection="0">
      <alignment horizontal="right" vertical="center"/>
    </xf>
    <xf numFmtId="2" fontId="3" fillId="2" borderId="1" applyNumberFormat="1" applyFont="1" applyFill="1" applyBorder="1" applyAlignment="1" applyProtection="0">
      <alignment horizontal="right" vertical="center"/>
    </xf>
    <xf numFmtId="0" fontId="0" fillId="2" borderId="11" applyNumberFormat="0" applyFont="1" applyFill="1" applyBorder="1" applyAlignment="1" applyProtection="0">
      <alignment vertical="center" wrapText="1"/>
    </xf>
    <xf numFmtId="0" fontId="0" fillId="2" borderId="7" applyNumberFormat="0" applyFont="1" applyFill="1" applyBorder="1" applyAlignment="1" applyProtection="0">
      <alignment vertical="center" wrapText="1"/>
    </xf>
    <xf numFmtId="49" fontId="0" fillId="7" borderId="8" applyNumberFormat="1" applyFont="1" applyFill="1" applyBorder="1" applyAlignment="1" applyProtection="0">
      <alignment vertical="center" wrapText="1"/>
    </xf>
    <xf numFmtId="2" fontId="0" fillId="7" borderId="8" applyNumberFormat="1" applyFont="1" applyFill="1" applyBorder="1" applyAlignment="1" applyProtection="0">
      <alignment vertical="center" wrapText="1"/>
    </xf>
    <xf numFmtId="0" fontId="0" fillId="2" borderId="5" applyNumberFormat="0" applyFont="1" applyFill="1" applyBorder="1" applyAlignment="1" applyProtection="0">
      <alignment vertical="center" wrapText="1"/>
    </xf>
    <xf numFmtId="0" fontId="0" fillId="7" borderId="7" applyNumberFormat="1" applyFont="1" applyFill="1" applyBorder="1" applyAlignment="1" applyProtection="0">
      <alignment vertical="center"/>
    </xf>
    <xf numFmtId="49" fontId="0" fillId="7" borderId="8" applyNumberFormat="1" applyFont="1" applyFill="1" applyBorder="1" applyAlignment="1" applyProtection="0">
      <alignment vertical="center"/>
    </xf>
    <xf numFmtId="1" fontId="3" fillId="7" borderId="8" applyNumberFormat="1" applyFont="1" applyFill="1" applyBorder="1" applyAlignment="1" applyProtection="0">
      <alignment horizontal="right" vertical="center"/>
    </xf>
    <xf numFmtId="4" fontId="3" fillId="7" borderId="8" applyNumberFormat="1" applyFont="1" applyFill="1" applyBorder="1" applyAlignment="1" applyProtection="0">
      <alignment horizontal="right" vertical="center"/>
    </xf>
    <xf numFmtId="0" fontId="0" fillId="2" borderId="14" applyNumberFormat="0" applyFont="1" applyFill="1" applyBorder="1" applyAlignment="1" applyProtection="0">
      <alignment vertical="center"/>
    </xf>
    <xf numFmtId="49" fontId="0" fillId="8" borderId="8" applyNumberFormat="1" applyFont="1" applyFill="1" applyBorder="1" applyAlignment="1" applyProtection="0">
      <alignment vertical="center"/>
    </xf>
    <xf numFmtId="2" fontId="0" fillId="8" borderId="8" applyNumberFormat="1" applyFont="1" applyFill="1" applyBorder="1" applyAlignment="1" applyProtection="0">
      <alignment vertical="center"/>
    </xf>
    <xf numFmtId="0" fontId="0" fillId="8" borderId="7" applyNumberFormat="1" applyFont="1" applyFill="1" applyBorder="1" applyAlignment="1" applyProtection="0">
      <alignment vertical="center"/>
    </xf>
    <xf numFmtId="49" fontId="3" fillId="8" borderId="8" applyNumberFormat="1" applyFont="1" applyFill="1" applyBorder="1" applyAlignment="1" applyProtection="0">
      <alignment horizontal="left" vertical="center" wrapText="1"/>
    </xf>
    <xf numFmtId="1" fontId="3" fillId="8" borderId="8" applyNumberFormat="1" applyFont="1" applyFill="1" applyBorder="1" applyAlignment="1" applyProtection="0">
      <alignment horizontal="right" vertical="center"/>
    </xf>
    <xf numFmtId="0" fontId="3" fillId="8" borderId="8" applyNumberFormat="1" applyFont="1" applyFill="1" applyBorder="1" applyAlignment="1" applyProtection="0">
      <alignment horizontal="right" vertical="center"/>
    </xf>
    <xf numFmtId="1" fontId="0" fillId="8" borderId="8" applyNumberFormat="1" applyFont="1" applyFill="1" applyBorder="1" applyAlignment="1" applyProtection="0">
      <alignment vertical="center"/>
    </xf>
    <xf numFmtId="0" fontId="0" fillId="2" borderId="10" applyNumberFormat="1" applyFont="1" applyFill="1" applyBorder="1" applyAlignment="1" applyProtection="0">
      <alignment vertical="center"/>
    </xf>
    <xf numFmtId="0" fontId="0" fillId="2" borderId="6" applyNumberFormat="1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bottom"/>
    </xf>
    <xf numFmtId="0" fontId="2" applyNumberFormat="0" applyFont="1" applyFill="0" applyBorder="0" applyAlignment="1" applyProtection="0">
      <alignment horizontal="center" vertical="center"/>
    </xf>
    <xf numFmtId="0" fontId="0" borderId="15" applyNumberFormat="0" applyFont="1" applyFill="0" applyBorder="1" applyAlignment="1" applyProtection="0">
      <alignment vertical="bottom"/>
    </xf>
    <xf numFmtId="0" fontId="0" borderId="16" applyNumberFormat="0" applyFont="1" applyFill="0" applyBorder="1" applyAlignment="1" applyProtection="0">
      <alignment vertical="bottom"/>
    </xf>
    <xf numFmtId="0" fontId="0" borderId="17" applyNumberFormat="0" applyFont="1" applyFill="0" applyBorder="1" applyAlignment="1" applyProtection="0">
      <alignment vertical="bottom"/>
    </xf>
    <xf numFmtId="0" fontId="0" borderId="18" applyNumberFormat="0" applyFont="1" applyFill="0" applyBorder="1" applyAlignment="1" applyProtection="0">
      <alignment vertical="center"/>
    </xf>
    <xf numFmtId="2" fontId="0" borderId="18" applyNumberFormat="1" applyFont="1" applyFill="0" applyBorder="1" applyAlignment="1" applyProtection="0">
      <alignment vertical="center"/>
    </xf>
    <xf numFmtId="0" fontId="0" borderId="19" applyNumberFormat="0" applyFont="1" applyFill="0" applyBorder="1" applyAlignment="1" applyProtection="0">
      <alignment vertical="bottom"/>
    </xf>
    <xf numFmtId="0" fontId="0" borderId="20" applyNumberFormat="0" applyFont="1" applyFill="0" applyBorder="1" applyAlignment="1" applyProtection="0">
      <alignment vertical="bottom"/>
    </xf>
    <xf numFmtId="0" fontId="0" borderId="21" applyNumberFormat="0" applyFont="1" applyFill="0" applyBorder="1" applyAlignment="1" applyProtection="0">
      <alignment vertical="bottom"/>
    </xf>
    <xf numFmtId="0" fontId="0" borderId="22" applyNumberFormat="0" applyFont="1" applyFill="0" applyBorder="1" applyAlignment="1" applyProtection="0">
      <alignment vertical="bottom"/>
    </xf>
    <xf numFmtId="0" fontId="0" borderId="23" applyNumberFormat="0" applyFont="1" applyFill="0" applyBorder="1" applyAlignment="1" applyProtection="0">
      <alignment vertical="bottom"/>
    </xf>
    <xf numFmtId="0" fontId="0" borderId="8" applyNumberFormat="0" applyFont="1" applyFill="0" applyBorder="1" applyAlignment="1" applyProtection="0">
      <alignment vertical="center"/>
    </xf>
    <xf numFmtId="2" fontId="0" borderId="8" applyNumberFormat="1" applyFont="1" applyFill="0" applyBorder="1" applyAlignment="1" applyProtection="0">
      <alignment vertical="center"/>
    </xf>
    <xf numFmtId="0" fontId="0" borderId="24" applyNumberFormat="0" applyFont="1" applyFill="0" applyBorder="1" applyAlignment="1" applyProtection="0">
      <alignment vertical="bottom"/>
    </xf>
    <xf numFmtId="0" fontId="0" borderId="25" applyNumberFormat="0" applyFont="1" applyFill="0" applyBorder="1" applyAlignment="1" applyProtection="0">
      <alignment vertical="bottom"/>
    </xf>
    <xf numFmtId="0" fontId="0" borderId="26" applyNumberFormat="0" applyFont="1" applyFill="0" applyBorder="1" applyAlignment="1" applyProtection="0">
      <alignment vertical="bottom"/>
    </xf>
    <xf numFmtId="0" fontId="0" borderId="27" applyNumberFormat="0" applyFont="1" applyFill="0" applyBorder="1" applyAlignment="1" applyProtection="0">
      <alignment vertical="bottom"/>
    </xf>
    <xf numFmtId="0" fontId="0" borderId="28" applyNumberFormat="0" applyFont="1" applyFill="0" applyBorder="1" applyAlignment="1" applyProtection="0">
      <alignment vertical="bottom"/>
    </xf>
    <xf numFmtId="0" fontId="0" borderId="29" applyNumberFormat="0" applyFont="1" applyFill="0" applyBorder="1" applyAlignment="1" applyProtection="0">
      <alignment vertical="bottom"/>
    </xf>
    <xf numFmtId="49" fontId="0" borderId="29" applyNumberFormat="1" applyFont="1" applyFill="0" applyBorder="1" applyAlignment="1" applyProtection="0">
      <alignment vertical="bottom"/>
    </xf>
    <xf numFmtId="0" fontId="0" borderId="30" applyNumberFormat="0" applyFont="1" applyFill="0" applyBorder="1" applyAlignment="1" applyProtection="0">
      <alignment vertical="bottom"/>
    </xf>
    <xf numFmtId="2" fontId="0" fillId="3" borderId="31" applyNumberFormat="1" applyFont="1" applyFill="1" applyBorder="1" applyAlignment="1" applyProtection="0">
      <alignment vertical="center"/>
    </xf>
    <xf numFmtId="49" fontId="0" fillId="9" borderId="32" applyNumberFormat="1" applyFont="1" applyFill="1" applyBorder="1" applyAlignment="1" applyProtection="0">
      <alignment vertical="bottom"/>
    </xf>
    <xf numFmtId="4" fontId="0" fillId="9" borderId="33" applyNumberFormat="1" applyFont="1" applyFill="1" applyBorder="1" applyAlignment="1" applyProtection="0">
      <alignment vertical="bottom"/>
    </xf>
    <xf numFmtId="49" fontId="0" fillId="4" borderId="34" applyNumberFormat="1" applyFont="1" applyFill="1" applyBorder="1" applyAlignment="1" applyProtection="0">
      <alignment vertical="center"/>
    </xf>
    <xf numFmtId="4" fontId="0" fillId="4" borderId="8" applyNumberFormat="1" applyFont="1" applyFill="1" applyBorder="1" applyAlignment="1" applyProtection="0">
      <alignment vertical="center"/>
    </xf>
    <xf numFmtId="49" fontId="0" fillId="4" borderId="8" applyNumberFormat="1" applyFont="1" applyFill="1" applyBorder="1" applyAlignment="1" applyProtection="0">
      <alignment vertical="center"/>
    </xf>
    <xf numFmtId="2" fontId="0" fillId="4" borderId="8" applyNumberFormat="1" applyFont="1" applyFill="1" applyBorder="1" applyAlignment="1" applyProtection="0">
      <alignment vertical="center"/>
    </xf>
    <xf numFmtId="49" fontId="0" fillId="10" borderId="35" applyNumberFormat="1" applyFont="1" applyFill="1" applyBorder="1" applyAlignment="1" applyProtection="0">
      <alignment vertical="bottom"/>
    </xf>
    <xf numFmtId="2" fontId="0" fillId="10" borderId="36" applyNumberFormat="1" applyFont="1" applyFill="1" applyBorder="1" applyAlignment="1" applyProtection="0">
      <alignment vertical="bottom"/>
    </xf>
    <xf numFmtId="0" fontId="0" fillId="10" borderId="36" applyNumberFormat="0" applyFont="1" applyFill="1" applyBorder="1" applyAlignment="1" applyProtection="0">
      <alignment vertical="bottom"/>
    </xf>
    <xf numFmtId="0" fontId="0" fillId="10" borderId="37" applyNumberFormat="0" applyFont="1" applyFill="1" applyBorder="1" applyAlignment="1" applyProtection="0">
      <alignment vertical="bottom"/>
    </xf>
    <xf numFmtId="0" fontId="0" fillId="3" borderId="38" applyNumberFormat="1" applyFont="1" applyFill="1" applyBorder="1" applyAlignment="1" applyProtection="0">
      <alignment vertical="center"/>
    </xf>
    <xf numFmtId="0" fontId="0" borderId="39" applyNumberFormat="0" applyFont="1" applyFill="0" applyBorder="1" applyAlignment="1" applyProtection="0">
      <alignment vertical="bottom"/>
    </xf>
    <xf numFmtId="0" fontId="0" borderId="40" applyNumberFormat="0" applyFont="1" applyFill="0" applyBorder="1" applyAlignment="1" applyProtection="0">
      <alignment vertical="bottom"/>
    </xf>
    <xf numFmtId="0" fontId="0" borderId="41" applyNumberFormat="0" applyFont="1" applyFill="0" applyBorder="1" applyAlignment="1" applyProtection="0">
      <alignment vertical="bottom"/>
    </xf>
    <xf numFmtId="0" fontId="0" borderId="42" applyNumberFormat="0" applyFont="1" applyFill="0" applyBorder="1" applyAlignment="1" applyProtection="0">
      <alignment vertical="bottom"/>
    </xf>
    <xf numFmtId="49" fontId="0" borderId="42" applyNumberFormat="1" applyFont="1" applyFill="0" applyBorder="1" applyAlignment="1" applyProtection="0">
      <alignment vertical="bottom"/>
    </xf>
    <xf numFmtId="2" fontId="0" borderId="42" applyNumberFormat="1" applyFont="1" applyFill="0" applyBorder="1" applyAlignment="1" applyProtection="0">
      <alignment vertical="bottom"/>
    </xf>
    <xf numFmtId="49" fontId="0" borderId="43" applyNumberFormat="1" applyFont="1" applyFill="0" applyBorder="1" applyAlignment="1" applyProtection="0">
      <alignment vertical="bottom"/>
    </xf>
    <xf numFmtId="4" fontId="0" borderId="43" applyNumberFormat="1" applyFont="1" applyFill="0" applyBorder="1" applyAlignment="1" applyProtection="0">
      <alignment vertical="bottom"/>
    </xf>
    <xf numFmtId="0" fontId="0" borderId="43" applyNumberFormat="0" applyFont="1" applyFill="0" applyBorder="1" applyAlignment="1" applyProtection="0">
      <alignment vertical="bottom"/>
    </xf>
    <xf numFmtId="0" fontId="0" borderId="44" applyNumberFormat="0" applyFont="1" applyFill="0" applyBorder="1" applyAlignment="1" applyProtection="0">
      <alignment vertical="bottom"/>
    </xf>
    <xf numFmtId="0" fontId="0" fillId="5" borderId="8" applyNumberFormat="0" applyFont="1" applyFill="1" applyBorder="1" applyAlignment="1" applyProtection="0">
      <alignment vertical="center"/>
    </xf>
    <xf numFmtId="49" fontId="0" borderId="24" applyNumberFormat="1" applyFont="1" applyFill="0" applyBorder="1" applyAlignment="1" applyProtection="0">
      <alignment vertical="bottom"/>
    </xf>
    <xf numFmtId="4" fontId="0" borderId="22" applyNumberFormat="1" applyFont="1" applyFill="0" applyBorder="1" applyAlignment="1" applyProtection="0">
      <alignment vertical="bottom"/>
    </xf>
    <xf numFmtId="49" fontId="0" borderId="22" applyNumberFormat="1" applyFont="1" applyFill="0" applyBorder="1" applyAlignment="1" applyProtection="0">
      <alignment vertical="bottom"/>
    </xf>
    <xf numFmtId="0" fontId="0" borderId="22" applyNumberFormat="1" applyFont="1" applyFill="0" applyBorder="1" applyAlignment="1" applyProtection="0">
      <alignment vertical="bottom"/>
    </xf>
    <xf numFmtId="0" fontId="0" borderId="45" applyNumberFormat="0" applyFont="1" applyFill="0" applyBorder="1" applyAlignment="1" applyProtection="0">
      <alignment vertical="bottom"/>
    </xf>
    <xf numFmtId="0" fontId="0" fillId="11" borderId="46" applyNumberFormat="0" applyFont="1" applyFill="1" applyBorder="1" applyAlignment="1" applyProtection="0">
      <alignment vertical="bottom"/>
    </xf>
    <xf numFmtId="0" fontId="0" borderId="47" applyNumberFormat="0" applyFont="1" applyFill="0" applyBorder="1" applyAlignment="1" applyProtection="0">
      <alignment vertical="bottom"/>
    </xf>
    <xf numFmtId="4" fontId="0" borderId="42" applyNumberFormat="1" applyFont="1" applyFill="0" applyBorder="1" applyAlignment="1" applyProtection="0">
      <alignment vertical="bottom"/>
    </xf>
    <xf numFmtId="0" fontId="0" fillId="3" borderId="42" applyNumberFormat="1" applyFont="1" applyFill="1" applyBorder="1" applyAlignment="1" applyProtection="0">
      <alignment vertical="center"/>
    </xf>
    <xf numFmtId="0" fontId="0" borderId="48" applyNumberFormat="0" applyFont="1" applyFill="0" applyBorder="1" applyAlignment="1" applyProtection="0">
      <alignment vertical="bottom"/>
    </xf>
    <xf numFmtId="49" fontId="0" fillId="12" borderId="24" applyNumberFormat="1" applyFont="1" applyFill="1" applyBorder="1" applyAlignment="1" applyProtection="0">
      <alignment vertical="bottom"/>
    </xf>
    <xf numFmtId="0" fontId="0" fillId="12" borderId="23" applyNumberFormat="1" applyFont="1" applyFill="1" applyBorder="1" applyAlignment="1" applyProtection="0">
      <alignment vertical="bottom"/>
    </xf>
    <xf numFmtId="49" fontId="0" fillId="4" borderId="49" applyNumberFormat="1" applyFont="1" applyFill="1" applyBorder="1" applyAlignment="1" applyProtection="0">
      <alignment vertical="center"/>
    </xf>
    <xf numFmtId="0" fontId="0" fillId="4" borderId="49" applyNumberFormat="1" applyFont="1" applyFill="1" applyBorder="1" applyAlignment="1" applyProtection="0">
      <alignment vertical="center"/>
    </xf>
    <xf numFmtId="0" fontId="0" fillId="6" borderId="38" applyNumberFormat="1" applyFont="1" applyFill="1" applyBorder="1" applyAlignment="1" applyProtection="0">
      <alignment vertical="center"/>
    </xf>
    <xf numFmtId="4" fontId="3" borderId="39" applyNumberFormat="1" applyFont="1" applyFill="0" applyBorder="1" applyAlignment="1" applyProtection="0">
      <alignment horizontal="right" vertical="bottom"/>
    </xf>
    <xf numFmtId="2" fontId="3" borderId="40" applyNumberFormat="1" applyFont="1" applyFill="0" applyBorder="1" applyAlignment="1" applyProtection="0">
      <alignment horizontal="right" vertical="bottom"/>
    </xf>
    <xf numFmtId="4" fontId="3" borderId="22" applyNumberFormat="1" applyFont="1" applyFill="0" applyBorder="1" applyAlignment="1" applyProtection="0">
      <alignment horizontal="right" vertical="bottom"/>
    </xf>
    <xf numFmtId="4" fontId="3" borderId="40" applyNumberFormat="1" applyFont="1" applyFill="0" applyBorder="1" applyAlignment="1" applyProtection="0">
      <alignment horizontal="right" vertical="bottom"/>
    </xf>
    <xf numFmtId="4" fontId="3" borderId="24" applyNumberFormat="1" applyFont="1" applyFill="0" applyBorder="1" applyAlignment="1" applyProtection="0">
      <alignment horizontal="right" vertical="bottom"/>
    </xf>
    <xf numFmtId="2" fontId="3" borderId="22" applyNumberFormat="1" applyFont="1" applyFill="0" applyBorder="1" applyAlignment="1" applyProtection="0">
      <alignment horizontal="right" vertical="bottom"/>
    </xf>
    <xf numFmtId="0" fontId="0" fillId="2" borderId="22" applyNumberFormat="0" applyFont="1" applyFill="1" applyBorder="1" applyAlignment="1" applyProtection="0">
      <alignment vertical="center" wrapText="1"/>
    </xf>
    <xf numFmtId="0" fontId="0" fillId="2" borderId="25" applyNumberFormat="0" applyFont="1" applyFill="1" applyBorder="1" applyAlignment="1" applyProtection="0">
      <alignment vertical="center" wrapText="1"/>
    </xf>
    <xf numFmtId="4" fontId="3" borderId="45" applyNumberFormat="1" applyFont="1" applyFill="0" applyBorder="1" applyAlignment="1" applyProtection="0">
      <alignment horizontal="right" vertical="bottom"/>
    </xf>
    <xf numFmtId="2" fontId="3" borderId="29" applyNumberFormat="1" applyFont="1" applyFill="0" applyBorder="1" applyAlignment="1" applyProtection="0">
      <alignment horizontal="right" vertical="bottom"/>
    </xf>
    <xf numFmtId="0" fontId="0" fillId="2" borderId="42" applyNumberFormat="0" applyFont="1" applyFill="1" applyBorder="1" applyAlignment="1" applyProtection="0">
      <alignment vertical="center" wrapText="1"/>
    </xf>
    <xf numFmtId="0" fontId="0" fillId="2" borderId="48" applyNumberFormat="0" applyFont="1" applyFill="1" applyBorder="1" applyAlignment="1" applyProtection="0">
      <alignment vertical="center" wrapText="1"/>
    </xf>
    <xf numFmtId="49" fontId="0" fillId="13" borderId="24" applyNumberFormat="1" applyFont="1" applyFill="1" applyBorder="1" applyAlignment="1" applyProtection="0">
      <alignment vertical="bottom"/>
    </xf>
    <xf numFmtId="0" fontId="0" fillId="13" borderId="23" applyNumberFormat="1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center" wrapText="1"/>
    </xf>
    <xf numFmtId="0" fontId="0" fillId="7" borderId="38" applyNumberFormat="1" applyFont="1" applyFill="1" applyBorder="1" applyAlignment="1" applyProtection="0">
      <alignment vertical="center"/>
    </xf>
    <xf numFmtId="0" fontId="0" borderId="50" applyNumberFormat="0" applyFont="1" applyFill="0" applyBorder="1" applyAlignment="1" applyProtection="0">
      <alignment vertical="bottom"/>
    </xf>
    <xf numFmtId="49" fontId="0" fillId="14" borderId="24" applyNumberFormat="1" applyFont="1" applyFill="1" applyBorder="1" applyAlignment="1" applyProtection="0">
      <alignment vertical="bottom"/>
    </xf>
    <xf numFmtId="0" fontId="0" fillId="14" borderId="23" applyNumberFormat="1" applyFont="1" applyFill="1" applyBorder="1" applyAlignment="1" applyProtection="0">
      <alignment vertical="bottom"/>
    </xf>
    <xf numFmtId="0" fontId="0" fillId="8" borderId="38" applyNumberFormat="1" applyFont="1" applyFill="1" applyBorder="1" applyAlignment="1" applyProtection="0">
      <alignment vertical="center"/>
    </xf>
    <xf numFmtId="1" fontId="0" fillId="3" borderId="8" applyNumberFormat="1" applyFont="1" applyFill="1" applyBorder="1" applyAlignment="1" applyProtection="0">
      <alignment vertical="center"/>
    </xf>
    <xf numFmtId="0" fontId="0" fillId="8" borderId="8" applyNumberFormat="1" applyFont="1" applyFill="1" applyBorder="1" applyAlignment="1" applyProtection="0">
      <alignment vertical="center"/>
    </xf>
    <xf numFmtId="0" fontId="0" fillId="11" borderId="51" applyNumberFormat="1" applyFont="1" applyFill="1" applyBorder="1" applyAlignment="1" applyProtection="0">
      <alignment vertical="bottom"/>
    </xf>
    <xf numFmtId="0" fontId="0" borderId="52" applyNumberFormat="0" applyFont="1" applyFill="0" applyBorder="1" applyAlignment="1" applyProtection="0">
      <alignment vertical="bottom"/>
    </xf>
    <xf numFmtId="0" fontId="0" fillId="11" borderId="53" applyNumberFormat="1" applyFont="1" applyFill="1" applyBorder="1" applyAlignment="1" applyProtection="0">
      <alignment vertical="bottom"/>
    </xf>
    <xf numFmtId="0" fontId="0" borderId="54" applyNumberFormat="0" applyFont="1" applyFill="0" applyBorder="1" applyAlignment="1" applyProtection="0">
      <alignment vertical="bottom"/>
    </xf>
    <xf numFmtId="0" fontId="0" fillId="11" borderId="55" applyNumberFormat="1" applyFont="1" applyFill="1" applyBorder="1" applyAlignment="1" applyProtection="0">
      <alignment vertical="bottom"/>
    </xf>
    <xf numFmtId="0" fontId="0" borderId="56" applyNumberFormat="0" applyFont="1" applyFill="0" applyBorder="1" applyAlignment="1" applyProtection="0">
      <alignment vertical="bottom"/>
    </xf>
    <xf numFmtId="0" fontId="0" borderId="57" applyNumberFormat="0" applyFont="1" applyFill="0" applyBorder="1" applyAlignment="1" applyProtection="0">
      <alignment vertical="bottom"/>
    </xf>
    <xf numFmtId="0" fontId="0" borderId="58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3" fillId="3" borderId="2" applyNumberFormat="1" applyFont="1" applyFill="1" applyBorder="1" applyAlignment="1" applyProtection="0">
      <alignment horizontal="left" vertical="center"/>
    </xf>
    <xf numFmtId="49" fontId="3" fillId="3" borderId="3" applyNumberFormat="1" applyFont="1" applyFill="1" applyBorder="1" applyAlignment="1" applyProtection="0">
      <alignment vertical="center"/>
    </xf>
    <xf numFmtId="0" fontId="3" fillId="3" borderId="3" applyNumberFormat="1" applyFont="1" applyFill="1" applyBorder="1" applyAlignment="1" applyProtection="0">
      <alignment vertical="center"/>
    </xf>
    <xf numFmtId="4" fontId="3" fillId="3" borderId="3" applyNumberFormat="1" applyFont="1" applyFill="1" applyBorder="1" applyAlignment="1" applyProtection="0">
      <alignment vertical="center"/>
    </xf>
    <xf numFmtId="0" fontId="0" borderId="5" applyNumberFormat="0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4" fontId="0" borderId="6" applyNumberFormat="1" applyFont="1" applyFill="0" applyBorder="1" applyAlignment="1" applyProtection="0">
      <alignment vertical="bottom"/>
    </xf>
    <xf numFmtId="0" fontId="3" fillId="3" borderId="7" applyNumberFormat="1" applyFont="1" applyFill="1" applyBorder="1" applyAlignment="1" applyProtection="0">
      <alignment horizontal="left" vertical="center"/>
    </xf>
    <xf numFmtId="49" fontId="3" fillId="3" borderId="8" applyNumberFormat="1" applyFont="1" applyFill="1" applyBorder="1" applyAlignment="1" applyProtection="0">
      <alignment vertical="center"/>
    </xf>
    <xf numFmtId="0" fontId="3" fillId="3" borderId="8" applyNumberFormat="1" applyFont="1" applyFill="1" applyBorder="1" applyAlignment="1" applyProtection="0">
      <alignment vertical="center"/>
    </xf>
    <xf numFmtId="4" fontId="3" fillId="3" borderId="8" applyNumberFormat="1" applyFont="1" applyFill="1" applyBorder="1" applyAlignment="1" applyProtection="0">
      <alignment vertical="center"/>
    </xf>
    <xf numFmtId="0" fontId="0" borderId="10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d9e2f3"/>
      <rgbColor rgb="fffbe4d5"/>
      <rgbColor rgb="fff7caac"/>
      <rgbColor rgb="ffe2eeda"/>
      <rgbColor rgb="fffff2cb"/>
      <rgbColor rgb="ffcfcfcf"/>
      <rgbColor rgb="ffa5a5a5"/>
      <rgbColor rgb="ffdee6f4"/>
      <rgbColor rgb="ffa1b8e1"/>
      <rgbColor rgb="ffb8cae8"/>
      <rgbColor rgb="ffbdc0bf"/>
      <rgbColor rgb="ff3f3f3f"/>
      <rgbColor rgb="ffdbdbdb"/>
      <rgbColor rgb="ffb7d6a3"/>
      <rgbColor rgb="ffffdf7f"/>
      <rgbColor rgb="ffddddd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AQ74"/>
  <sheetViews>
    <sheetView workbookViewId="0" showGridLines="0" defaultGridColor="1"/>
  </sheetViews>
  <sheetFormatPr defaultColWidth="8.83333" defaultRowHeight="28.5" customHeight="1" outlineLevelRow="0" outlineLevelCol="0"/>
  <cols>
    <col min="1" max="1" width="6.5" style="1" customWidth="1"/>
    <col min="2" max="2" width="73.6719" style="1" customWidth="1"/>
    <col min="3" max="3" width="11.5" style="1" customWidth="1"/>
    <col min="4" max="4" width="13.5" style="1" customWidth="1"/>
    <col min="5" max="5" width="12.1719" style="1" customWidth="1"/>
    <col min="6" max="6" width="9.17188" style="1" customWidth="1"/>
    <col min="7" max="7" width="10.3516" style="1" customWidth="1"/>
    <col min="8" max="8" width="9.17188" style="1" customWidth="1"/>
    <col min="9" max="9" width="16.1719" style="1" customWidth="1"/>
    <col min="10" max="10" width="10.5" style="1" customWidth="1"/>
    <col min="11" max="43" width="9.17188" style="1" customWidth="1"/>
    <col min="44" max="16384" width="8.85156" style="1" customWidth="1"/>
  </cols>
  <sheetData>
    <row r="1" ht="28.5" customHeight="1">
      <c r="A1" s="2"/>
      <c r="B1" s="2"/>
      <c r="C1" s="2"/>
      <c r="D1" s="2"/>
      <c r="E1" s="3"/>
      <c r="F1" t="s" s="4">
        <v>0</v>
      </c>
      <c r="G1" s="5">
        <f>SUM(E2:E18)</f>
        <v>152210</v>
      </c>
      <c r="H1" s="6"/>
      <c r="I1" t="s" s="7">
        <v>1</v>
      </c>
      <c r="J1" s="8">
        <f>SUM(G1:G74)</f>
        <v>607358</v>
      </c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ht="28.5" customHeight="1">
      <c r="A2" s="11">
        <v>1</v>
      </c>
      <c r="B2" t="s" s="12">
        <v>2</v>
      </c>
      <c r="C2" s="13">
        <v>1</v>
      </c>
      <c r="D2" s="14">
        <v>1495</v>
      </c>
      <c r="E2" s="14">
        <f>C2*D2</f>
        <v>1495</v>
      </c>
      <c r="F2" s="15"/>
      <c r="G2" s="16"/>
      <c r="H2" s="10"/>
      <c r="I2" t="s" s="17">
        <v>3</v>
      </c>
      <c r="J2" s="18">
        <v>700000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</row>
    <row r="3" ht="28.5" customHeight="1">
      <c r="A3" s="11">
        <v>2</v>
      </c>
      <c r="B3" t="s" s="12">
        <v>4</v>
      </c>
      <c r="C3" s="13">
        <v>2</v>
      </c>
      <c r="D3" s="14">
        <v>1395</v>
      </c>
      <c r="E3" s="14">
        <f>C3*D3</f>
        <v>2790</v>
      </c>
      <c r="F3" s="9"/>
      <c r="G3" s="10"/>
      <c r="H3" s="19"/>
      <c r="I3" t="s" s="20">
        <v>5</v>
      </c>
      <c r="J3" s="21">
        <f>J2-J1</f>
        <v>92642</v>
      </c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</row>
    <row r="4" ht="28.5" customHeight="1">
      <c r="A4" s="11">
        <v>3</v>
      </c>
      <c r="B4" t="s" s="12">
        <v>6</v>
      </c>
      <c r="C4" s="13">
        <v>10</v>
      </c>
      <c r="D4" s="13">
        <v>995</v>
      </c>
      <c r="E4" s="13">
        <f>C4*D4</f>
        <v>9950</v>
      </c>
      <c r="F4" s="9"/>
      <c r="G4" s="10"/>
      <c r="H4" s="10"/>
      <c r="I4" s="16"/>
      <c r="J4" s="16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</row>
    <row r="5" ht="28.5" customHeight="1">
      <c r="A5" s="11">
        <v>4</v>
      </c>
      <c r="B5" t="s" s="12">
        <v>7</v>
      </c>
      <c r="C5" s="13">
        <v>5</v>
      </c>
      <c r="D5" s="14">
        <v>1395</v>
      </c>
      <c r="E5" s="14">
        <f>C5*D5</f>
        <v>6975</v>
      </c>
      <c r="F5" s="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</row>
    <row r="6" ht="28.5" customHeight="1">
      <c r="A6" s="11">
        <v>5</v>
      </c>
      <c r="B6" t="s" s="12">
        <v>8</v>
      </c>
      <c r="C6" s="13">
        <v>5</v>
      </c>
      <c r="D6" s="14">
        <v>1395</v>
      </c>
      <c r="E6" s="14">
        <f>C6*D6</f>
        <v>6975</v>
      </c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ht="28.5" customHeight="1">
      <c r="A7" s="11">
        <v>6</v>
      </c>
      <c r="B7" t="s" s="12">
        <v>9</v>
      </c>
      <c r="C7" s="13">
        <v>5</v>
      </c>
      <c r="D7" s="14">
        <v>795</v>
      </c>
      <c r="E7" s="14">
        <f>C7*D7</f>
        <v>3975</v>
      </c>
      <c r="F7" s="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</row>
    <row r="8" ht="28.5" customHeight="1">
      <c r="A8" s="11">
        <v>7</v>
      </c>
      <c r="B8" t="s" s="12">
        <v>10</v>
      </c>
      <c r="C8" s="13">
        <v>10</v>
      </c>
      <c r="D8" s="14">
        <v>1045</v>
      </c>
      <c r="E8" s="14">
        <f>C8*D8</f>
        <v>10450</v>
      </c>
      <c r="F8" s="9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</row>
    <row r="9" ht="28.5" customHeight="1">
      <c r="A9" s="11">
        <v>8</v>
      </c>
      <c r="B9" t="s" s="12">
        <v>11</v>
      </c>
      <c r="C9" s="13">
        <v>10</v>
      </c>
      <c r="D9" s="14">
        <v>1295</v>
      </c>
      <c r="E9" s="14">
        <f>C9*D9</f>
        <v>12950</v>
      </c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</row>
    <row r="10" ht="28.5" customHeight="1">
      <c r="A10" s="11">
        <v>9</v>
      </c>
      <c r="B10" t="s" s="12">
        <v>12</v>
      </c>
      <c r="C10" s="13">
        <v>10</v>
      </c>
      <c r="D10" s="14">
        <v>1245</v>
      </c>
      <c r="E10" s="14">
        <f>C10*D10</f>
        <v>12450</v>
      </c>
      <c r="F10" s="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ht="28.5" customHeight="1">
      <c r="A11" s="11">
        <v>10</v>
      </c>
      <c r="B11" t="s" s="12">
        <v>13</v>
      </c>
      <c r="C11" s="13">
        <v>1</v>
      </c>
      <c r="D11" s="14">
        <v>2295</v>
      </c>
      <c r="E11" s="14">
        <f>C11*D11</f>
        <v>2295</v>
      </c>
      <c r="F11" s="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</row>
    <row r="12" ht="28.5" customHeight="1">
      <c r="A12" s="11">
        <v>11</v>
      </c>
      <c r="B12" t="s" s="12">
        <v>14</v>
      </c>
      <c r="C12" s="13">
        <v>2</v>
      </c>
      <c r="D12" s="14">
        <v>2195</v>
      </c>
      <c r="E12" s="14">
        <f>C12*D12</f>
        <v>4390</v>
      </c>
      <c r="F12" s="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</row>
    <row r="13" ht="28.5" customHeight="1">
      <c r="A13" s="11">
        <v>12</v>
      </c>
      <c r="B13" t="s" s="12">
        <v>15</v>
      </c>
      <c r="C13" s="13">
        <v>1</v>
      </c>
      <c r="D13" s="14">
        <v>2595</v>
      </c>
      <c r="E13" s="14">
        <f>C13*D13</f>
        <v>2595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</row>
    <row r="14" ht="28.5" customHeight="1">
      <c r="A14" s="11">
        <v>13</v>
      </c>
      <c r="B14" t="s" s="12">
        <v>16</v>
      </c>
      <c r="C14" s="13">
        <v>4</v>
      </c>
      <c r="D14" s="14">
        <v>3895</v>
      </c>
      <c r="E14" s="14">
        <f>C14*D14</f>
        <v>15580</v>
      </c>
      <c r="F14" s="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</row>
    <row r="15" ht="28.5" customHeight="1">
      <c r="A15" s="11">
        <v>14</v>
      </c>
      <c r="B15" t="s" s="12">
        <v>17</v>
      </c>
      <c r="C15" s="13">
        <v>3</v>
      </c>
      <c r="D15" s="14">
        <v>5295</v>
      </c>
      <c r="E15" s="14">
        <f>C15*D15</f>
        <v>15885</v>
      </c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</row>
    <row r="16" ht="28.5" customHeight="1">
      <c r="A16" s="11">
        <v>15</v>
      </c>
      <c r="B16" t="s" s="12">
        <v>18</v>
      </c>
      <c r="C16" s="13">
        <v>1</v>
      </c>
      <c r="D16" s="14">
        <v>2745</v>
      </c>
      <c r="E16" s="14">
        <f>C16*D16</f>
        <v>2745</v>
      </c>
      <c r="F16" s="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</row>
    <row r="17" ht="28.5" customHeight="1">
      <c r="A17" s="11">
        <v>16</v>
      </c>
      <c r="B17" t="s" s="12">
        <v>19</v>
      </c>
      <c r="C17" s="13">
        <v>5</v>
      </c>
      <c r="D17" s="14">
        <v>4245</v>
      </c>
      <c r="E17" s="14">
        <f>C17*D17</f>
        <v>21225</v>
      </c>
      <c r="F17" s="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</row>
    <row r="18" ht="28.5" customHeight="1">
      <c r="A18" s="11">
        <v>17</v>
      </c>
      <c r="B18" t="s" s="12">
        <v>20</v>
      </c>
      <c r="C18" s="13">
        <v>3</v>
      </c>
      <c r="D18" s="14">
        <v>6495</v>
      </c>
      <c r="E18" s="14">
        <f>C18*D18</f>
        <v>19485</v>
      </c>
      <c r="F18" s="22"/>
      <c r="G18" s="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</row>
    <row r="19" ht="28.5" customHeight="1">
      <c r="A19" s="23"/>
      <c r="B19" s="23"/>
      <c r="C19" s="23"/>
      <c r="D19" s="24"/>
      <c r="E19" s="25"/>
      <c r="F19" t="s" s="26">
        <v>0</v>
      </c>
      <c r="G19" s="27">
        <f>SUM(E20:E37)</f>
        <v>143663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</row>
    <row r="20" ht="28.5" customHeight="1">
      <c r="A20" s="28">
        <v>18</v>
      </c>
      <c r="B20" t="s" s="29">
        <v>21</v>
      </c>
      <c r="C20" s="30">
        <v>3</v>
      </c>
      <c r="D20" s="31">
        <v>4300</v>
      </c>
      <c r="E20" s="31">
        <f>C20*D20</f>
        <v>12900</v>
      </c>
      <c r="F20" s="32"/>
      <c r="G20" s="33"/>
      <c r="H20" s="34"/>
      <c r="I20" s="34"/>
      <c r="J20" s="34"/>
      <c r="K20" s="34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</row>
    <row r="21" ht="28.5" customHeight="1">
      <c r="A21" s="28">
        <v>19</v>
      </c>
      <c r="B21" t="s" s="29">
        <v>22</v>
      </c>
      <c r="C21" s="30">
        <v>2</v>
      </c>
      <c r="D21" s="31">
        <v>4700</v>
      </c>
      <c r="E21" s="31">
        <f>C21*D21</f>
        <v>9400</v>
      </c>
      <c r="F21" s="35"/>
      <c r="G21" s="36"/>
      <c r="H21" s="34"/>
      <c r="I21" s="34"/>
      <c r="J21" s="34"/>
      <c r="K21" s="34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</row>
    <row r="22" ht="28.5" customHeight="1">
      <c r="A22" s="28">
        <v>20</v>
      </c>
      <c r="B22" t="s" s="29">
        <v>23</v>
      </c>
      <c r="C22" s="30">
        <v>5</v>
      </c>
      <c r="D22" s="31">
        <v>3500</v>
      </c>
      <c r="E22" s="31">
        <f>C22*D22</f>
        <v>17500</v>
      </c>
      <c r="F22" s="35"/>
      <c r="G22" s="36"/>
      <c r="H22" s="34"/>
      <c r="I22" s="34"/>
      <c r="J22" s="34"/>
      <c r="K22" s="34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</row>
    <row r="23" ht="28.5" customHeight="1">
      <c r="A23" s="28">
        <v>21</v>
      </c>
      <c r="B23" t="s" s="29">
        <v>24</v>
      </c>
      <c r="C23" s="30">
        <v>1</v>
      </c>
      <c r="D23" s="31">
        <v>3500</v>
      </c>
      <c r="E23" s="31">
        <f>C23*D23</f>
        <v>3500</v>
      </c>
      <c r="F23" s="35"/>
      <c r="G23" s="36"/>
      <c r="H23" s="34"/>
      <c r="I23" s="34"/>
      <c r="J23" s="34"/>
      <c r="K23" s="34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</row>
    <row r="24" ht="28.5" customHeight="1">
      <c r="A24" s="28">
        <v>22</v>
      </c>
      <c r="B24" t="s" s="29">
        <v>25</v>
      </c>
      <c r="C24" s="30">
        <v>1</v>
      </c>
      <c r="D24" s="31">
        <v>5300</v>
      </c>
      <c r="E24" s="31">
        <f>C24*D24</f>
        <v>5300</v>
      </c>
      <c r="F24" s="35"/>
      <c r="G24" s="36"/>
      <c r="H24" s="34"/>
      <c r="I24" s="34"/>
      <c r="J24" s="34"/>
      <c r="K24" s="34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</row>
    <row r="25" ht="28.5" customHeight="1">
      <c r="A25" s="28">
        <v>23</v>
      </c>
      <c r="B25" t="s" s="29">
        <v>26</v>
      </c>
      <c r="C25" s="30">
        <v>1</v>
      </c>
      <c r="D25" s="31">
        <v>7145</v>
      </c>
      <c r="E25" s="31">
        <f>C25*D25</f>
        <v>7145</v>
      </c>
      <c r="F25" s="35"/>
      <c r="G25" s="36"/>
      <c r="H25" s="34"/>
      <c r="I25" s="34"/>
      <c r="J25" s="34"/>
      <c r="K25" s="34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</row>
    <row r="26" ht="28.5" customHeight="1">
      <c r="A26" s="28">
        <v>24</v>
      </c>
      <c r="B26" t="s" s="29">
        <v>27</v>
      </c>
      <c r="C26" s="30">
        <v>1</v>
      </c>
      <c r="D26" s="31">
        <v>3495</v>
      </c>
      <c r="E26" s="31">
        <f>C26*D26</f>
        <v>3495</v>
      </c>
      <c r="F26" s="35"/>
      <c r="G26" s="36"/>
      <c r="H26" s="34"/>
      <c r="I26" s="34"/>
      <c r="J26" s="34"/>
      <c r="K26" s="34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</row>
    <row r="27" ht="28.5" customHeight="1">
      <c r="A27" s="28">
        <v>25</v>
      </c>
      <c r="B27" t="s" s="29">
        <v>28</v>
      </c>
      <c r="C27" s="30">
        <v>1</v>
      </c>
      <c r="D27" s="31">
        <v>1645</v>
      </c>
      <c r="E27" s="31">
        <f>C27*D27</f>
        <v>1645</v>
      </c>
      <c r="F27" s="35"/>
      <c r="G27" s="36"/>
      <c r="H27" s="34"/>
      <c r="I27" s="34"/>
      <c r="J27" s="34"/>
      <c r="K27" s="34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</row>
    <row r="28" ht="28.5" customHeight="1">
      <c r="A28" s="28">
        <v>26</v>
      </c>
      <c r="B28" t="s" s="29">
        <v>29</v>
      </c>
      <c r="C28" s="30">
        <v>1</v>
      </c>
      <c r="D28" s="31">
        <v>2995</v>
      </c>
      <c r="E28" s="31">
        <f>C28*D28</f>
        <v>2995</v>
      </c>
      <c r="F28" s="35"/>
      <c r="G28" s="36"/>
      <c r="H28" s="34"/>
      <c r="I28" s="34"/>
      <c r="J28" s="34"/>
      <c r="K28" s="34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</row>
    <row r="29" ht="28.5" customHeight="1">
      <c r="A29" s="28">
        <v>27</v>
      </c>
      <c r="B29" t="s" s="29">
        <v>30</v>
      </c>
      <c r="C29" s="30">
        <v>1</v>
      </c>
      <c r="D29" s="31">
        <v>4800</v>
      </c>
      <c r="E29" s="31">
        <f>C29*D29</f>
        <v>4800</v>
      </c>
      <c r="F29" s="35"/>
      <c r="G29" s="36"/>
      <c r="H29" s="34"/>
      <c r="I29" s="34"/>
      <c r="J29" s="34"/>
      <c r="K29" s="34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</row>
    <row r="30" ht="28.5" customHeight="1">
      <c r="A30" s="28">
        <v>28</v>
      </c>
      <c r="B30" t="s" s="29">
        <v>31</v>
      </c>
      <c r="C30" s="30">
        <v>1</v>
      </c>
      <c r="D30" s="31">
        <v>3995</v>
      </c>
      <c r="E30" s="31">
        <f>C30*D30</f>
        <v>3995</v>
      </c>
      <c r="F30" s="35"/>
      <c r="G30" s="36"/>
      <c r="H30" s="34"/>
      <c r="I30" s="34"/>
      <c r="J30" s="34"/>
      <c r="K30" s="34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</row>
    <row r="31" ht="28.5" customHeight="1">
      <c r="A31" s="28">
        <v>29</v>
      </c>
      <c r="B31" t="s" s="29">
        <v>32</v>
      </c>
      <c r="C31" s="30">
        <v>1</v>
      </c>
      <c r="D31" s="31">
        <v>8095</v>
      </c>
      <c r="E31" s="31">
        <f>C31*D31</f>
        <v>8095</v>
      </c>
      <c r="F31" s="35"/>
      <c r="G31" s="36"/>
      <c r="H31" s="34"/>
      <c r="I31" s="34"/>
      <c r="J31" s="34"/>
      <c r="K31" s="34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</row>
    <row r="32" ht="28.5" customHeight="1">
      <c r="A32" s="28">
        <v>30</v>
      </c>
      <c r="B32" t="s" s="29">
        <v>33</v>
      </c>
      <c r="C32" s="30">
        <v>1</v>
      </c>
      <c r="D32" s="31">
        <v>2300</v>
      </c>
      <c r="E32" s="31">
        <f>C32*D32</f>
        <v>2300</v>
      </c>
      <c r="F32" s="35"/>
      <c r="G32" s="36"/>
      <c r="H32" s="34"/>
      <c r="I32" s="34"/>
      <c r="J32" s="34"/>
      <c r="K32" s="34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</row>
    <row r="33" ht="28.5" customHeight="1">
      <c r="A33" s="28">
        <v>31</v>
      </c>
      <c r="B33" t="s" s="29">
        <v>34</v>
      </c>
      <c r="C33" s="30">
        <v>1</v>
      </c>
      <c r="D33" s="31">
        <v>5394</v>
      </c>
      <c r="E33" s="31">
        <f>C33*D33</f>
        <v>5394</v>
      </c>
      <c r="F33" s="35"/>
      <c r="G33" s="36"/>
      <c r="H33" s="34"/>
      <c r="I33" s="34"/>
      <c r="J33" s="34"/>
      <c r="K33" s="34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</row>
    <row r="34" ht="28.5" customHeight="1">
      <c r="A34" s="28">
        <v>32</v>
      </c>
      <c r="B34" t="s" s="29">
        <v>35</v>
      </c>
      <c r="C34" s="30">
        <v>1</v>
      </c>
      <c r="D34" s="31">
        <v>5214</v>
      </c>
      <c r="E34" s="31">
        <f>C34*D34</f>
        <v>5214</v>
      </c>
      <c r="F34" s="35"/>
      <c r="G34" s="36"/>
      <c r="H34" s="34"/>
      <c r="I34" s="34"/>
      <c r="J34" s="34"/>
      <c r="K34" s="34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</row>
    <row r="35" ht="28.5" customHeight="1">
      <c r="A35" s="28">
        <v>33</v>
      </c>
      <c r="B35" t="s" s="29">
        <v>36</v>
      </c>
      <c r="C35" s="30">
        <v>5</v>
      </c>
      <c r="D35" s="31">
        <v>3845</v>
      </c>
      <c r="E35" s="31">
        <f>C35*D35</f>
        <v>19225</v>
      </c>
      <c r="F35" s="35"/>
      <c r="G35" s="36"/>
      <c r="H35" s="34"/>
      <c r="I35" s="34"/>
      <c r="J35" s="34"/>
      <c r="K35" s="34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</row>
    <row r="36" ht="28.5" customHeight="1">
      <c r="A36" s="28">
        <v>34</v>
      </c>
      <c r="B36" t="s" s="29">
        <v>37</v>
      </c>
      <c r="C36" s="30">
        <v>5</v>
      </c>
      <c r="D36" s="31">
        <v>3845</v>
      </c>
      <c r="E36" s="31">
        <f>C36*D36</f>
        <v>19225</v>
      </c>
      <c r="F36" s="35"/>
      <c r="G36" s="36"/>
      <c r="H36" s="34"/>
      <c r="I36" s="34"/>
      <c r="J36" s="34"/>
      <c r="K36" s="34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</row>
    <row r="37" ht="28.5" customHeight="1">
      <c r="A37" s="28">
        <v>35</v>
      </c>
      <c r="B37" t="s" s="29">
        <v>38</v>
      </c>
      <c r="C37" s="30">
        <v>3</v>
      </c>
      <c r="D37" s="31">
        <v>3845</v>
      </c>
      <c r="E37" s="31">
        <f>C37*D37</f>
        <v>11535</v>
      </c>
      <c r="F37" s="38"/>
      <c r="G37" s="39"/>
      <c r="H37" s="34"/>
      <c r="I37" s="34"/>
      <c r="J37" s="34"/>
      <c r="K37" s="34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</row>
    <row r="38" ht="28.5" customHeight="1">
      <c r="A38" s="23"/>
      <c r="B38" s="23"/>
      <c r="C38" s="40"/>
      <c r="D38" s="40"/>
      <c r="E38" s="41"/>
      <c r="F38" t="s" s="42">
        <v>0</v>
      </c>
      <c r="G38" s="43">
        <f>SUM(E39)</f>
        <v>25000</v>
      </c>
      <c r="H38" s="44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</row>
    <row r="39" ht="28.5" customHeight="1">
      <c r="A39" s="45">
        <v>36</v>
      </c>
      <c r="B39" t="s" s="46">
        <v>39</v>
      </c>
      <c r="C39" s="47">
        <v>1</v>
      </c>
      <c r="D39" s="48">
        <v>25000</v>
      </c>
      <c r="E39" s="48">
        <f>C39*D39</f>
        <v>25000</v>
      </c>
      <c r="F39" s="49"/>
      <c r="G39" s="23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</row>
    <row r="40" ht="28.5" customHeight="1">
      <c r="A40" s="23"/>
      <c r="B40" s="23"/>
      <c r="C40" s="23"/>
      <c r="D40" s="23"/>
      <c r="E40" s="25"/>
      <c r="F40" t="s" s="50">
        <v>0</v>
      </c>
      <c r="G40" s="51">
        <f>SUM(E41:E62)</f>
        <v>286485</v>
      </c>
      <c r="H40" s="9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ht="28.5" customHeight="1">
      <c r="A41" s="52">
        <v>37</v>
      </c>
      <c r="B41" t="s" s="53">
        <v>40</v>
      </c>
      <c r="C41" s="54">
        <v>1</v>
      </c>
      <c r="D41" s="55">
        <v>10995</v>
      </c>
      <c r="E41" s="56">
        <f>C41*D41</f>
        <v>10995</v>
      </c>
      <c r="F41" s="15"/>
      <c r="G41" s="16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ht="28.5" customHeight="1">
      <c r="A42" s="52">
        <v>38</v>
      </c>
      <c r="B42" t="s" s="53">
        <v>41</v>
      </c>
      <c r="C42" s="54">
        <v>10</v>
      </c>
      <c r="D42" s="55">
        <v>3460</v>
      </c>
      <c r="E42" s="56">
        <f>C42*D42</f>
        <v>34600</v>
      </c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ht="28.5" customHeight="1">
      <c r="A43" s="52">
        <v>39</v>
      </c>
      <c r="B43" t="s" s="53">
        <v>42</v>
      </c>
      <c r="C43" s="54">
        <v>5</v>
      </c>
      <c r="D43" s="55">
        <v>2415</v>
      </c>
      <c r="E43" s="56">
        <f>C43*D43</f>
        <v>12075</v>
      </c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ht="28.5" customHeight="1">
      <c r="A44" s="52">
        <v>40</v>
      </c>
      <c r="B44" t="s" s="53">
        <v>43</v>
      </c>
      <c r="C44" s="54">
        <v>5</v>
      </c>
      <c r="D44" s="55">
        <v>2415</v>
      </c>
      <c r="E44" s="56">
        <f>C44*D44</f>
        <v>12075</v>
      </c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ht="28.5" customHeight="1">
      <c r="A45" s="52">
        <v>41</v>
      </c>
      <c r="B45" t="s" s="53">
        <v>44</v>
      </c>
      <c r="C45" s="54">
        <v>1</v>
      </c>
      <c r="D45" s="55">
        <v>3020</v>
      </c>
      <c r="E45" s="56">
        <f>C45*D45</f>
        <v>3020</v>
      </c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ht="28.5" customHeight="1">
      <c r="A46" s="52">
        <v>42</v>
      </c>
      <c r="B46" t="s" s="53">
        <v>45</v>
      </c>
      <c r="C46" s="54">
        <v>1</v>
      </c>
      <c r="D46" s="55">
        <v>1945</v>
      </c>
      <c r="E46" s="56">
        <f>C46*D46</f>
        <v>1945</v>
      </c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ht="28.5" customHeight="1">
      <c r="A47" s="52">
        <v>43</v>
      </c>
      <c r="B47" t="s" s="53">
        <v>46</v>
      </c>
      <c r="C47" s="54">
        <v>1</v>
      </c>
      <c r="D47" s="55">
        <v>3570</v>
      </c>
      <c r="E47" s="56">
        <f>C47*D47</f>
        <v>3570</v>
      </c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ht="28.5" customHeight="1">
      <c r="A48" s="52">
        <v>44</v>
      </c>
      <c r="B48" t="s" s="53">
        <v>47</v>
      </c>
      <c r="C48" s="54">
        <v>1</v>
      </c>
      <c r="D48" s="55">
        <v>5440</v>
      </c>
      <c r="E48" s="56">
        <f>C48*D48</f>
        <v>5440</v>
      </c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ht="28.5" customHeight="1">
      <c r="A49" s="52">
        <v>45</v>
      </c>
      <c r="B49" t="s" s="53">
        <v>48</v>
      </c>
      <c r="C49" s="54">
        <v>10</v>
      </c>
      <c r="D49" s="55">
        <v>2525</v>
      </c>
      <c r="E49" s="56">
        <f>C49*D49</f>
        <v>25250</v>
      </c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ht="28.5" customHeight="1">
      <c r="A50" s="52">
        <v>46</v>
      </c>
      <c r="B50" t="s" s="53">
        <v>49</v>
      </c>
      <c r="C50" s="54">
        <v>5</v>
      </c>
      <c r="D50" s="55">
        <v>2525</v>
      </c>
      <c r="E50" s="56">
        <f>C50*D50</f>
        <v>12625</v>
      </c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ht="28.5" customHeight="1">
      <c r="A51" s="52">
        <v>47</v>
      </c>
      <c r="B51" t="s" s="53">
        <v>50</v>
      </c>
      <c r="C51" s="54">
        <v>5</v>
      </c>
      <c r="D51" s="55">
        <v>3460</v>
      </c>
      <c r="E51" s="56">
        <f>C51*D51</f>
        <v>17300</v>
      </c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</row>
    <row r="52" ht="28.5" customHeight="1">
      <c r="A52" s="52">
        <v>48</v>
      </c>
      <c r="B52" t="s" s="53">
        <v>51</v>
      </c>
      <c r="C52" s="54">
        <v>2</v>
      </c>
      <c r="D52" s="55">
        <v>3570</v>
      </c>
      <c r="E52" s="56">
        <f>C52*D52</f>
        <v>7140</v>
      </c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</row>
    <row r="53" ht="28.5" customHeight="1">
      <c r="A53" s="52">
        <v>49</v>
      </c>
      <c r="B53" t="s" s="53">
        <v>52</v>
      </c>
      <c r="C53" s="54">
        <v>2</v>
      </c>
      <c r="D53" s="55">
        <v>2690</v>
      </c>
      <c r="E53" s="56">
        <f>C53*D53</f>
        <v>5380</v>
      </c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</row>
    <row r="54" ht="28.5" customHeight="1">
      <c r="A54" s="52">
        <v>50</v>
      </c>
      <c r="B54" t="s" s="53">
        <v>53</v>
      </c>
      <c r="C54" s="54">
        <v>3</v>
      </c>
      <c r="D54" s="55">
        <v>2525</v>
      </c>
      <c r="E54" s="56">
        <f>C54*D54</f>
        <v>7575</v>
      </c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</row>
    <row r="55" ht="28.5" customHeight="1">
      <c r="A55" s="52">
        <v>51</v>
      </c>
      <c r="B55" t="s" s="53">
        <v>54</v>
      </c>
      <c r="C55" s="54">
        <v>2</v>
      </c>
      <c r="D55" s="55">
        <v>3735</v>
      </c>
      <c r="E55" s="56">
        <f>C55*D55</f>
        <v>7470</v>
      </c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</row>
    <row r="56" ht="28.5" customHeight="1">
      <c r="A56" s="52">
        <v>52</v>
      </c>
      <c r="B56" t="s" s="53">
        <v>55</v>
      </c>
      <c r="C56" s="54">
        <v>3</v>
      </c>
      <c r="D56" s="55">
        <v>3460</v>
      </c>
      <c r="E56" s="56">
        <f>C56*D56</f>
        <v>10380</v>
      </c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</row>
    <row r="57" ht="28.5" customHeight="1">
      <c r="A57" s="52">
        <v>53</v>
      </c>
      <c r="B57" t="s" s="53">
        <v>56</v>
      </c>
      <c r="C57" s="54">
        <v>4</v>
      </c>
      <c r="D57" s="55">
        <v>4395</v>
      </c>
      <c r="E57" s="56">
        <f>C57*D57</f>
        <v>17580</v>
      </c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</row>
    <row r="58" ht="28.5" customHeight="1">
      <c r="A58" s="52">
        <v>54</v>
      </c>
      <c r="B58" t="s" s="53">
        <v>57</v>
      </c>
      <c r="C58" s="54">
        <v>2</v>
      </c>
      <c r="D58" s="55">
        <v>4395</v>
      </c>
      <c r="E58" s="56">
        <f>C58*D58</f>
        <v>8790</v>
      </c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</row>
    <row r="59" ht="28.5" customHeight="1">
      <c r="A59" s="52">
        <v>55</v>
      </c>
      <c r="B59" t="s" s="53">
        <v>58</v>
      </c>
      <c r="C59" s="54">
        <v>5</v>
      </c>
      <c r="D59" s="55">
        <v>4395</v>
      </c>
      <c r="E59" s="56">
        <f>C59*D59</f>
        <v>21975</v>
      </c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</row>
    <row r="60" ht="28.5" customHeight="1">
      <c r="A60" s="52">
        <v>56</v>
      </c>
      <c r="B60" t="s" s="53">
        <v>59</v>
      </c>
      <c r="C60" s="54">
        <v>2</v>
      </c>
      <c r="D60" s="55">
        <v>5160</v>
      </c>
      <c r="E60" s="56">
        <f>C60*D60</f>
        <v>10320</v>
      </c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</row>
    <row r="61" ht="28.5" customHeight="1">
      <c r="A61" s="52">
        <v>57</v>
      </c>
      <c r="B61" t="s" s="53">
        <v>60</v>
      </c>
      <c r="C61" s="54">
        <v>2</v>
      </c>
      <c r="D61" s="55">
        <v>11210</v>
      </c>
      <c r="E61" s="56">
        <f>C61*D61</f>
        <v>22420</v>
      </c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</row>
    <row r="62" ht="28.5" customHeight="1">
      <c r="A62" s="52">
        <v>58</v>
      </c>
      <c r="B62" t="s" s="53">
        <v>61</v>
      </c>
      <c r="C62" s="54">
        <v>4</v>
      </c>
      <c r="D62" s="55">
        <v>7140</v>
      </c>
      <c r="E62" s="56">
        <f>C62*D62</f>
        <v>28560</v>
      </c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</row>
    <row r="63" ht="28.5" customHeight="1">
      <c r="A63" s="57">
        <v>59</v>
      </c>
      <c r="B63" s="16"/>
      <c r="C63" s="16"/>
      <c r="D63" s="16"/>
      <c r="E63" s="16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</row>
    <row r="64" ht="28.5" customHeight="1">
      <c r="A64" s="58">
        <v>60</v>
      </c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</row>
    <row r="65" ht="28.5" customHeight="1">
      <c r="A65" s="58">
        <v>61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</row>
    <row r="66" ht="28.5" customHeight="1">
      <c r="A66" s="58">
        <v>62</v>
      </c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</row>
    <row r="67" ht="28.5" customHeight="1">
      <c r="A67" s="58">
        <v>63</v>
      </c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</row>
    <row r="68" ht="28.5" customHeight="1">
      <c r="A68" s="58">
        <v>64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</row>
    <row r="69" ht="28.5" customHeight="1">
      <c r="A69" s="58">
        <v>65</v>
      </c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</row>
    <row r="70" ht="28.5" customHeight="1">
      <c r="A70" s="58">
        <v>66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</row>
    <row r="71" ht="28.5" customHeight="1">
      <c r="A71" s="58">
        <v>67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</row>
    <row r="72" ht="28.5" customHeight="1">
      <c r="A72" s="58">
        <v>68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</row>
    <row r="73" ht="28.5" customHeight="1">
      <c r="A73" s="58">
        <v>69</v>
      </c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</row>
    <row r="74" ht="28.5" customHeight="1">
      <c r="A74" s="58">
        <v>70</v>
      </c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2:AY78"/>
  <sheetViews>
    <sheetView workbookViewId="0" showGridLines="0" defaultGridColor="1">
      <pane topLeftCell="B1" xSplit="1" ySplit="0" activePane="topRight" state="frozen"/>
    </sheetView>
  </sheetViews>
  <sheetFormatPr defaultColWidth="16.3333" defaultRowHeight="15.4" customHeight="1" outlineLevelRow="0" outlineLevelCol="0"/>
  <cols>
    <col min="1" max="1" width="7.50781" style="59" customWidth="1"/>
    <col min="2" max="2" width="60.3516" style="59" customWidth="1"/>
    <col min="3" max="4" width="16.3516" style="59" customWidth="1"/>
    <col min="5" max="7" width="18.875" style="59" customWidth="1"/>
    <col min="8" max="8" width="18.8516" style="59" customWidth="1"/>
    <col min="9" max="10" width="16.3516" style="59" customWidth="1"/>
    <col min="11" max="11" width="8.09375" style="59" customWidth="1"/>
    <col min="12" max="12" width="11.1484" style="59" customWidth="1"/>
    <col min="13" max="13" width="16.3516" style="59" customWidth="1"/>
    <col min="14" max="14" width="9.30469" style="59" customWidth="1"/>
    <col min="15" max="15" width="13.2734" style="59" customWidth="1"/>
    <col min="16" max="16" width="11.8984" style="59" customWidth="1"/>
    <col min="17" max="18" width="16.3516" style="59" customWidth="1"/>
    <col min="19" max="19" width="30.4531" style="59" customWidth="1"/>
    <col min="20" max="51" width="16.3516" style="59" customWidth="1"/>
    <col min="52" max="16384" width="16.3516" style="59" customWidth="1"/>
  </cols>
  <sheetData>
    <row r="1" ht="14.8" customHeight="1">
      <c r="A1" t="s" s="60">
        <v>62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</row>
    <row r="2" ht="13.2" customHeight="1">
      <c r="A2" s="61"/>
      <c r="B2" s="62"/>
      <c r="C2" s="62"/>
      <c r="D2" s="62"/>
      <c r="E2" s="62"/>
      <c r="F2" s="62"/>
      <c r="G2" s="62"/>
      <c r="H2" s="62"/>
      <c r="I2" s="62"/>
      <c r="J2" s="63"/>
      <c r="K2" s="64"/>
      <c r="L2" s="65"/>
      <c r="M2" s="66"/>
      <c r="N2" s="63"/>
      <c r="O2" s="64"/>
      <c r="P2" s="64"/>
      <c r="Q2" s="64"/>
      <c r="R2" s="65"/>
      <c r="S2" s="66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7"/>
    </row>
    <row r="3" ht="13.55" customHeight="1">
      <c r="A3" s="68"/>
      <c r="B3" s="69"/>
      <c r="C3" s="69"/>
      <c r="D3" s="69"/>
      <c r="E3" s="69"/>
      <c r="F3" s="69"/>
      <c r="G3" s="69"/>
      <c r="H3" s="69"/>
      <c r="I3" s="69"/>
      <c r="J3" s="70"/>
      <c r="K3" s="71"/>
      <c r="L3" s="72"/>
      <c r="M3" s="73"/>
      <c r="N3" s="70"/>
      <c r="O3" s="71"/>
      <c r="P3" s="71"/>
      <c r="Q3" s="71"/>
      <c r="R3" s="72"/>
      <c r="S3" s="73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74"/>
    </row>
    <row r="4" ht="13.55" customHeight="1">
      <c r="A4" s="68"/>
      <c r="B4" s="69"/>
      <c r="C4" s="69"/>
      <c r="D4" s="69"/>
      <c r="E4" s="69"/>
      <c r="F4" s="69"/>
      <c r="G4" s="69"/>
      <c r="H4" s="69"/>
      <c r="I4" s="69"/>
      <c r="J4" s="70"/>
      <c r="K4" s="71"/>
      <c r="L4" s="72"/>
      <c r="M4" s="75"/>
      <c r="N4" s="76"/>
      <c r="O4" s="71"/>
      <c r="P4" s="71"/>
      <c r="Q4" s="71"/>
      <c r="R4" s="72"/>
      <c r="S4" s="73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74"/>
    </row>
    <row r="5" ht="13.55" customHeight="1">
      <c r="A5" s="77"/>
      <c r="B5" s="78"/>
      <c r="C5" s="78"/>
      <c r="D5" t="s" s="79">
        <v>63</v>
      </c>
      <c r="E5" t="s" s="79">
        <v>64</v>
      </c>
      <c r="F5" t="s" s="79">
        <v>65</v>
      </c>
      <c r="G5" t="s" s="79">
        <v>66</v>
      </c>
      <c r="H5" t="s" s="79">
        <v>67</v>
      </c>
      <c r="I5" t="s" s="79">
        <v>68</v>
      </c>
      <c r="J5" s="80"/>
      <c r="K5" t="s" s="12">
        <v>0</v>
      </c>
      <c r="L5" s="81">
        <f>SUM(J6:J22)</f>
        <v>304420</v>
      </c>
      <c r="M5" t="s" s="82">
        <v>69</v>
      </c>
      <c r="N5" s="83">
        <f>SUM(I6:I22)</f>
        <v>182652</v>
      </c>
      <c r="O5" t="s" s="84">
        <v>70</v>
      </c>
      <c r="P5" s="85">
        <f>SUM(H6:H22)</f>
        <v>213094</v>
      </c>
      <c r="Q5" t="s" s="86">
        <v>71</v>
      </c>
      <c r="R5" s="87">
        <f>SUM(L6:L78)</f>
        <v>910296</v>
      </c>
      <c r="S5" t="s" s="88">
        <v>72</v>
      </c>
      <c r="T5" s="89">
        <f>'Приход'!J1</f>
        <v>607358</v>
      </c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1"/>
    </row>
    <row r="6" ht="13.55" customHeight="1">
      <c r="A6" s="92">
        <v>1</v>
      </c>
      <c r="B6" t="s" s="12">
        <v>2</v>
      </c>
      <c r="C6" s="13">
        <v>1</v>
      </c>
      <c r="D6" s="14">
        <f>'Приход'!$D2*2</f>
        <v>2990</v>
      </c>
      <c r="E6" s="14">
        <f>'Приход'!D2*$T$16</f>
        <v>1734.2</v>
      </c>
      <c r="F6" s="14">
        <f>E6*C6</f>
        <v>1734.2</v>
      </c>
      <c r="G6" s="14">
        <f>D6*$T$15</f>
        <v>2093</v>
      </c>
      <c r="H6" s="14">
        <f>G6*C6</f>
        <v>2093</v>
      </c>
      <c r="I6" s="14">
        <f>D6*0.6*'Приход'!C2</f>
        <v>1794</v>
      </c>
      <c r="J6" s="14">
        <f>C6*D6</f>
        <v>2990</v>
      </c>
      <c r="K6" s="93"/>
      <c r="L6" s="94"/>
      <c r="M6" s="95"/>
      <c r="N6" s="95"/>
      <c r="O6" s="96"/>
      <c r="P6" s="96"/>
      <c r="Q6" t="s" s="97">
        <v>3</v>
      </c>
      <c r="R6" s="98">
        <v>700000</v>
      </c>
      <c r="S6" t="s" s="99">
        <v>73</v>
      </c>
      <c r="T6" s="100">
        <f>N$5+N23+N42+N44</f>
        <v>728829.6</v>
      </c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2"/>
    </row>
    <row r="7" ht="13.55" customHeight="1">
      <c r="A7" s="92">
        <v>2</v>
      </c>
      <c r="B7" t="s" s="12">
        <v>4</v>
      </c>
      <c r="C7" s="13">
        <v>2</v>
      </c>
      <c r="D7" s="14">
        <f>'Приход'!$D3*2</f>
        <v>2790</v>
      </c>
      <c r="E7" s="14">
        <f>'Приход'!D3*$T$16</f>
        <v>1618.2</v>
      </c>
      <c r="F7" s="14">
        <f>E7*C7</f>
        <v>3236.4</v>
      </c>
      <c r="G7" s="14">
        <f>D7*$T$15</f>
        <v>1953</v>
      </c>
      <c r="H7" s="14">
        <f>G7*C7</f>
        <v>3906</v>
      </c>
      <c r="I7" s="14">
        <f>D7*0.6*'Приход'!C3</f>
        <v>3348</v>
      </c>
      <c r="J7" s="14">
        <f>C7*D7</f>
        <v>5580</v>
      </c>
      <c r="K7" s="73"/>
      <c r="L7" s="69"/>
      <c r="M7" s="69"/>
      <c r="N7" s="70"/>
      <c r="O7" s="103"/>
      <c r="P7" s="103"/>
      <c r="Q7" t="s" s="20">
        <v>5</v>
      </c>
      <c r="R7" s="21">
        <f>R6-R5</f>
        <v>-210296</v>
      </c>
      <c r="S7" t="s" s="104">
        <v>74</v>
      </c>
      <c r="T7" s="105">
        <f>P$5+P23+P42+P44</f>
        <v>850301.2</v>
      </c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74"/>
    </row>
    <row r="8" ht="13.55" customHeight="1">
      <c r="A8" s="92">
        <v>3</v>
      </c>
      <c r="B8" t="s" s="12">
        <v>6</v>
      </c>
      <c r="C8" s="13">
        <v>10</v>
      </c>
      <c r="D8" s="14">
        <f>'Приход'!$D4*2</f>
        <v>1990</v>
      </c>
      <c r="E8" s="13">
        <f>'Приход'!D4*$T$16</f>
        <v>1154.2</v>
      </c>
      <c r="F8" s="13">
        <f>E8*C8</f>
        <v>11542</v>
      </c>
      <c r="G8" s="14">
        <f>D8*$T$15</f>
        <v>1393</v>
      </c>
      <c r="H8" s="14">
        <f>G8*C8</f>
        <v>13930</v>
      </c>
      <c r="I8" s="14">
        <f>D8*0.6*'Приход'!C4</f>
        <v>11940</v>
      </c>
      <c r="J8" s="14">
        <f>C8*D8</f>
        <v>19900</v>
      </c>
      <c r="K8" s="73"/>
      <c r="L8" s="69"/>
      <c r="M8" s="69"/>
      <c r="N8" s="69"/>
      <c r="O8" s="94"/>
      <c r="P8" s="94"/>
      <c r="Q8" s="94"/>
      <c r="R8" s="94"/>
      <c r="S8" t="s" s="106">
        <v>75</v>
      </c>
      <c r="T8" s="105">
        <f>T7-T$6</f>
        <v>121471.6</v>
      </c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74"/>
    </row>
    <row r="9" ht="13.55" customHeight="1">
      <c r="A9" s="92">
        <v>4</v>
      </c>
      <c r="B9" t="s" s="12">
        <v>7</v>
      </c>
      <c r="C9" s="13">
        <v>5</v>
      </c>
      <c r="D9" s="14">
        <f>'Приход'!$D5*2</f>
        <v>2790</v>
      </c>
      <c r="E9" s="14">
        <f>'Приход'!D5*$T$16</f>
        <v>1618.2</v>
      </c>
      <c r="F9" s="14">
        <f>E9*C9</f>
        <v>8091</v>
      </c>
      <c r="G9" s="14">
        <f>D9*$T$15</f>
        <v>1953</v>
      </c>
      <c r="H9" s="14">
        <f>G9*C9</f>
        <v>9765</v>
      </c>
      <c r="I9" s="14">
        <f>D9*0.6*'Приход'!C5</f>
        <v>8370</v>
      </c>
      <c r="J9" s="14">
        <f>C9*D9</f>
        <v>13950</v>
      </c>
      <c r="K9" s="73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74"/>
    </row>
    <row r="10" ht="13.55" customHeight="1">
      <c r="A10" s="92">
        <v>5</v>
      </c>
      <c r="B10" t="s" s="12">
        <v>8</v>
      </c>
      <c r="C10" s="13">
        <v>5</v>
      </c>
      <c r="D10" s="14">
        <f>'Приход'!$D6*2</f>
        <v>2790</v>
      </c>
      <c r="E10" s="14">
        <f>'Приход'!D6*$T$16</f>
        <v>1618.2</v>
      </c>
      <c r="F10" s="14">
        <f>E10*C10</f>
        <v>8091</v>
      </c>
      <c r="G10" s="14">
        <f>D10*$T$15</f>
        <v>1953</v>
      </c>
      <c r="H10" s="14">
        <f>G10*C10</f>
        <v>9765</v>
      </c>
      <c r="I10" s="14">
        <f>D10*0.6*'Приход'!C6</f>
        <v>8370</v>
      </c>
      <c r="J10" s="14">
        <f>C10*D10</f>
        <v>13950</v>
      </c>
      <c r="K10" s="73"/>
      <c r="L10" s="69"/>
      <c r="M10" s="69"/>
      <c r="N10" s="69"/>
      <c r="O10" s="69"/>
      <c r="P10" s="69"/>
      <c r="Q10" s="69"/>
      <c r="R10" s="69"/>
      <c r="S10" t="s" s="106">
        <v>65</v>
      </c>
      <c r="T10" s="105">
        <f>SUM(F6:F66)</f>
        <v>704535.28</v>
      </c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74"/>
    </row>
    <row r="11" ht="13.55" customHeight="1">
      <c r="A11" s="92">
        <v>6</v>
      </c>
      <c r="B11" t="s" s="12">
        <v>9</v>
      </c>
      <c r="C11" s="13">
        <v>5</v>
      </c>
      <c r="D11" s="14">
        <f>'Приход'!$D7*2</f>
        <v>1590</v>
      </c>
      <c r="E11" s="14">
        <f>'Приход'!D7*$T$16</f>
        <v>922.2</v>
      </c>
      <c r="F11" s="14">
        <f>E11*C11</f>
        <v>4611</v>
      </c>
      <c r="G11" s="14">
        <f>D11*$T$15</f>
        <v>1113</v>
      </c>
      <c r="H11" s="14">
        <f>G11*C11</f>
        <v>5565</v>
      </c>
      <c r="I11" s="14">
        <f>D11*0.6*'Приход'!C7</f>
        <v>4770</v>
      </c>
      <c r="J11" s="14">
        <f>C11*D11</f>
        <v>7950</v>
      </c>
      <c r="K11" s="73"/>
      <c r="L11" s="69"/>
      <c r="M11" s="69"/>
      <c r="N11" s="69"/>
      <c r="O11" s="69"/>
      <c r="P11" s="69"/>
      <c r="Q11" s="69"/>
      <c r="R11" s="69"/>
      <c r="S11" t="s" s="106">
        <v>76</v>
      </c>
      <c r="T11" s="105">
        <f>T7-T10</f>
        <v>145765.92</v>
      </c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74"/>
    </row>
    <row r="12" ht="13.55" customHeight="1">
      <c r="A12" s="92">
        <v>7</v>
      </c>
      <c r="B12" t="s" s="12">
        <v>10</v>
      </c>
      <c r="C12" s="13">
        <v>10</v>
      </c>
      <c r="D12" s="14">
        <f>'Приход'!$D8*2</f>
        <v>2090</v>
      </c>
      <c r="E12" s="14">
        <f>'Приход'!D8*$T$16</f>
        <v>1212.2</v>
      </c>
      <c r="F12" s="14">
        <f>E12*C12</f>
        <v>12122</v>
      </c>
      <c r="G12" s="14">
        <f>D12*$T$15</f>
        <v>1463</v>
      </c>
      <c r="H12" s="14">
        <f>G12*C12</f>
        <v>14630</v>
      </c>
      <c r="I12" s="14">
        <f>D12*0.6*'Приход'!C8</f>
        <v>12540</v>
      </c>
      <c r="J12" s="14">
        <f>C12*D12</f>
        <v>20900</v>
      </c>
      <c r="K12" s="73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74"/>
    </row>
    <row r="13" ht="13.55" customHeight="1">
      <c r="A13" s="92">
        <v>8</v>
      </c>
      <c r="B13" t="s" s="12">
        <v>11</v>
      </c>
      <c r="C13" s="13">
        <v>10</v>
      </c>
      <c r="D13" s="14">
        <f>'Приход'!$D9*2</f>
        <v>2590</v>
      </c>
      <c r="E13" s="14">
        <f>'Приход'!D9*$T$16</f>
        <v>1502.2</v>
      </c>
      <c r="F13" s="14">
        <f>E13*C13</f>
        <v>15022</v>
      </c>
      <c r="G13" s="14">
        <f>D13*$T$15</f>
        <v>1813</v>
      </c>
      <c r="H13" s="14">
        <f>G13*C13</f>
        <v>18130</v>
      </c>
      <c r="I13" s="14">
        <f>D13*0.6*'Приход'!C9</f>
        <v>15540</v>
      </c>
      <c r="J13" s="14">
        <f>C13*D13</f>
        <v>25900</v>
      </c>
      <c r="K13" s="73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74"/>
    </row>
    <row r="14" ht="13.55" customHeight="1">
      <c r="A14" s="92">
        <v>9</v>
      </c>
      <c r="B14" t="s" s="12">
        <v>12</v>
      </c>
      <c r="C14" s="13">
        <v>10</v>
      </c>
      <c r="D14" s="14">
        <f>'Приход'!$D10*2</f>
        <v>2490</v>
      </c>
      <c r="E14" s="14">
        <f>'Приход'!D10*$T$16</f>
        <v>1444.2</v>
      </c>
      <c r="F14" s="14">
        <f>E14*C14</f>
        <v>14442</v>
      </c>
      <c r="G14" s="14">
        <f>D14*$T$15</f>
        <v>1743</v>
      </c>
      <c r="H14" s="14">
        <f>G14*C14</f>
        <v>17430</v>
      </c>
      <c r="I14" s="14">
        <f>D14*0.6*'Приход'!C10</f>
        <v>14940</v>
      </c>
      <c r="J14" s="14">
        <f>C14*D14</f>
        <v>24900</v>
      </c>
      <c r="K14" s="73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74"/>
    </row>
    <row r="15" ht="13.55" customHeight="1">
      <c r="A15" s="92">
        <v>10</v>
      </c>
      <c r="B15" t="s" s="12">
        <v>13</v>
      </c>
      <c r="C15" s="13">
        <v>1</v>
      </c>
      <c r="D15" s="14">
        <f>'Приход'!$D11*2</f>
        <v>4590</v>
      </c>
      <c r="E15" s="14">
        <f>'Приход'!D11*$T$16</f>
        <v>2662.2</v>
      </c>
      <c r="F15" s="14">
        <f>E15*C15</f>
        <v>2662.2</v>
      </c>
      <c r="G15" s="14">
        <f>D15*$T$15</f>
        <v>3213</v>
      </c>
      <c r="H15" s="14">
        <f>G15*C15</f>
        <v>3213</v>
      </c>
      <c r="I15" s="14">
        <f>D15*0.6*'Приход'!C11</f>
        <v>2754</v>
      </c>
      <c r="J15" s="14">
        <f>C15*D15</f>
        <v>4590</v>
      </c>
      <c r="K15" s="73"/>
      <c r="L15" s="69"/>
      <c r="M15" s="69"/>
      <c r="N15" s="69"/>
      <c r="O15" s="69"/>
      <c r="P15" s="69"/>
      <c r="Q15" s="69"/>
      <c r="R15" s="69"/>
      <c r="S15" t="s" s="106">
        <v>66</v>
      </c>
      <c r="T15" s="107">
        <v>0.7</v>
      </c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74"/>
    </row>
    <row r="16" ht="13.55" customHeight="1">
      <c r="A16" s="92">
        <v>11</v>
      </c>
      <c r="B16" t="s" s="12">
        <v>14</v>
      </c>
      <c r="C16" s="13">
        <v>2</v>
      </c>
      <c r="D16" s="14">
        <f>'Приход'!$D12*2</f>
        <v>4390</v>
      </c>
      <c r="E16" s="14">
        <f>'Приход'!D12*$T$16</f>
        <v>2546.2</v>
      </c>
      <c r="F16" s="14">
        <f>E16*C16</f>
        <v>5092.4</v>
      </c>
      <c r="G16" s="14">
        <f>D16*$T$15</f>
        <v>3073</v>
      </c>
      <c r="H16" s="14">
        <f>G16*C16</f>
        <v>6146</v>
      </c>
      <c r="I16" s="14">
        <f>D16*0.6*'Приход'!C12</f>
        <v>5268</v>
      </c>
      <c r="J16" s="14">
        <f>C16*D16</f>
        <v>8780</v>
      </c>
      <c r="K16" s="73"/>
      <c r="L16" s="69"/>
      <c r="M16" s="69"/>
      <c r="N16" s="69"/>
      <c r="O16" s="69"/>
      <c r="P16" s="69"/>
      <c r="Q16" s="69"/>
      <c r="R16" s="69"/>
      <c r="S16" t="s" s="106">
        <v>77</v>
      </c>
      <c r="T16" s="107">
        <v>1.16</v>
      </c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74"/>
    </row>
    <row r="17" ht="13.55" customHeight="1">
      <c r="A17" s="92">
        <v>12</v>
      </c>
      <c r="B17" t="s" s="12">
        <v>15</v>
      </c>
      <c r="C17" s="13">
        <v>1</v>
      </c>
      <c r="D17" s="14">
        <f>'Приход'!$D13*2</f>
        <v>5190</v>
      </c>
      <c r="E17" s="14">
        <f>'Приход'!D13*$T$16</f>
        <v>3010.2</v>
      </c>
      <c r="F17" s="14">
        <f>E17*C17</f>
        <v>3010.2</v>
      </c>
      <c r="G17" s="14">
        <f>D17*$T$15</f>
        <v>3633</v>
      </c>
      <c r="H17" s="14">
        <f>G17*C17</f>
        <v>3633</v>
      </c>
      <c r="I17" s="14">
        <f>D17*0.6*'Приход'!C13</f>
        <v>3114</v>
      </c>
      <c r="J17" s="14">
        <f>C17*D17</f>
        <v>5190</v>
      </c>
      <c r="K17" s="73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74"/>
    </row>
    <row r="18" ht="13.55" customHeight="1">
      <c r="A18" s="92">
        <v>13</v>
      </c>
      <c r="B18" t="s" s="12">
        <v>16</v>
      </c>
      <c r="C18" s="13">
        <v>4</v>
      </c>
      <c r="D18" s="14">
        <f>'Приход'!$D14*2</f>
        <v>7790</v>
      </c>
      <c r="E18" s="14">
        <f>'Приход'!D14*$T$16</f>
        <v>4518.2</v>
      </c>
      <c r="F18" s="14">
        <f>E18*C18</f>
        <v>18072.8</v>
      </c>
      <c r="G18" s="14">
        <f>D18*$T$15</f>
        <v>5453</v>
      </c>
      <c r="H18" s="14">
        <f>G18*C18</f>
        <v>21812</v>
      </c>
      <c r="I18" s="14">
        <f>D18*0.6*'Приход'!C14</f>
        <v>18696</v>
      </c>
      <c r="J18" s="14">
        <f>C18*D18</f>
        <v>31160</v>
      </c>
      <c r="K18" s="73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74"/>
    </row>
    <row r="19" ht="13.55" customHeight="1">
      <c r="A19" s="92">
        <v>14</v>
      </c>
      <c r="B19" t="s" s="12">
        <v>17</v>
      </c>
      <c r="C19" s="13">
        <v>3</v>
      </c>
      <c r="D19" s="14">
        <f>'Приход'!$D15*2</f>
        <v>10590</v>
      </c>
      <c r="E19" s="14">
        <f>'Приход'!D15*$T$16</f>
        <v>6142.2</v>
      </c>
      <c r="F19" s="14">
        <f>E19*C19</f>
        <v>18426.6</v>
      </c>
      <c r="G19" s="14">
        <f>D19*$T$15</f>
        <v>7413</v>
      </c>
      <c r="H19" s="14">
        <f>G19*C19</f>
        <v>22239</v>
      </c>
      <c r="I19" s="14">
        <f>D19*0.6*'Приход'!C15</f>
        <v>19062</v>
      </c>
      <c r="J19" s="14">
        <f>C19*D19</f>
        <v>31770</v>
      </c>
      <c r="K19" s="73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74"/>
    </row>
    <row r="20" ht="13.55" customHeight="1">
      <c r="A20" s="92">
        <v>15</v>
      </c>
      <c r="B20" t="s" s="12">
        <v>18</v>
      </c>
      <c r="C20" s="13">
        <v>1</v>
      </c>
      <c r="D20" s="14">
        <f>'Приход'!$D16*2</f>
        <v>5490</v>
      </c>
      <c r="E20" s="14">
        <f>'Приход'!D16*$T$16</f>
        <v>3184.2</v>
      </c>
      <c r="F20" s="14">
        <f>E20*C20</f>
        <v>3184.2</v>
      </c>
      <c r="G20" s="14">
        <f>D20*$T$15</f>
        <v>3843</v>
      </c>
      <c r="H20" s="14">
        <f>G20*C20</f>
        <v>3843</v>
      </c>
      <c r="I20" s="14">
        <f>D20*0.6*'Приход'!C16</f>
        <v>3294</v>
      </c>
      <c r="J20" s="14">
        <f>C20*D20</f>
        <v>5490</v>
      </c>
      <c r="K20" s="73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74"/>
    </row>
    <row r="21" ht="13.55" customHeight="1">
      <c r="A21" s="92">
        <v>16</v>
      </c>
      <c r="B21" t="s" s="12">
        <v>19</v>
      </c>
      <c r="C21" s="13">
        <v>5</v>
      </c>
      <c r="D21" s="14">
        <f>'Приход'!$D17*2</f>
        <v>8490</v>
      </c>
      <c r="E21" s="14">
        <f>'Приход'!D17*$T$16</f>
        <v>4924.2</v>
      </c>
      <c r="F21" s="14">
        <f>E21*C21</f>
        <v>24621</v>
      </c>
      <c r="G21" s="14">
        <f>D21*$T$15</f>
        <v>5943</v>
      </c>
      <c r="H21" s="14">
        <f>G21*C21</f>
        <v>29715</v>
      </c>
      <c r="I21" s="14">
        <f>D21*0.6*'Приход'!C17</f>
        <v>25470</v>
      </c>
      <c r="J21" s="14">
        <f>C21*D21</f>
        <v>42450</v>
      </c>
      <c r="K21" s="73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74"/>
    </row>
    <row r="22" ht="13.55" customHeight="1">
      <c r="A22" s="92">
        <v>17</v>
      </c>
      <c r="B22" t="s" s="12">
        <v>20</v>
      </c>
      <c r="C22" s="13">
        <v>3</v>
      </c>
      <c r="D22" s="14">
        <f>'Приход'!$D18*2</f>
        <v>12990</v>
      </c>
      <c r="E22" s="14">
        <f>'Приход'!D18*$T$16</f>
        <v>7534.2</v>
      </c>
      <c r="F22" s="14">
        <f>E22*C22</f>
        <v>22602.6</v>
      </c>
      <c r="G22" s="14">
        <f>D22*$T$15</f>
        <v>9093</v>
      </c>
      <c r="H22" s="14">
        <f>G22*C22</f>
        <v>27279</v>
      </c>
      <c r="I22" s="14">
        <f>D22*0.6*'Приход'!C18</f>
        <v>23382</v>
      </c>
      <c r="J22" s="14">
        <f>C22*D22</f>
        <v>38970</v>
      </c>
      <c r="K22" s="108"/>
      <c r="L22" s="78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74"/>
    </row>
    <row r="23" ht="13.55" customHeight="1">
      <c r="A23" s="109"/>
      <c r="B23" s="110"/>
      <c r="C23" s="96"/>
      <c r="D23" s="111"/>
      <c r="E23" s="112">
        <f>'Приход'!D19*$T$16</f>
        <v>0</v>
      </c>
      <c r="F23" s="112">
        <f>E23*C23</f>
        <v>0</v>
      </c>
      <c r="G23" s="112">
        <f>D23*$T$15</f>
        <v>0</v>
      </c>
      <c r="H23" s="96"/>
      <c r="I23" s="96"/>
      <c r="J23" s="113"/>
      <c r="K23" t="s" s="26">
        <v>0</v>
      </c>
      <c r="L23" s="27">
        <f>SUM(J24:J41)</f>
        <v>287326</v>
      </c>
      <c r="M23" t="s" s="114">
        <v>69</v>
      </c>
      <c r="N23" s="115">
        <f>SUM(I24:I41)</f>
        <v>172395.6</v>
      </c>
      <c r="O23" t="s" s="116">
        <v>70</v>
      </c>
      <c r="P23" s="117">
        <f>SUM(H24:H41)</f>
        <v>201128.2</v>
      </c>
      <c r="Q23" s="73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74"/>
    </row>
    <row r="24" ht="15" customHeight="1">
      <c r="A24" s="118">
        <v>18</v>
      </c>
      <c r="B24" t="s" s="29">
        <v>21</v>
      </c>
      <c r="C24" s="30">
        <v>3</v>
      </c>
      <c r="D24" s="14">
        <f>'Приход'!$D20*2</f>
        <v>8600</v>
      </c>
      <c r="E24" s="14">
        <f>'Приход'!D20*$T$16</f>
        <v>4988</v>
      </c>
      <c r="F24" s="13">
        <f>E24*C24</f>
        <v>14964</v>
      </c>
      <c r="G24" s="14">
        <f>D24*$T$15</f>
        <v>6020</v>
      </c>
      <c r="H24" s="13">
        <f>G24*C24</f>
        <v>18060</v>
      </c>
      <c r="I24" s="13">
        <f>D24*0.6*'Приход'!C20</f>
        <v>15480</v>
      </c>
      <c r="J24" s="31">
        <f>C24*D24</f>
        <v>25800</v>
      </c>
      <c r="K24" s="119"/>
      <c r="L24" s="120"/>
      <c r="M24" s="121"/>
      <c r="N24" s="121"/>
      <c r="O24" s="122"/>
      <c r="P24" s="122"/>
      <c r="Q24" s="121"/>
      <c r="R24" s="121"/>
      <c r="S24" s="121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74"/>
    </row>
    <row r="25" ht="15" customHeight="1">
      <c r="A25" s="118">
        <v>19</v>
      </c>
      <c r="B25" t="s" s="29">
        <v>22</v>
      </c>
      <c r="C25" s="30">
        <v>2</v>
      </c>
      <c r="D25" s="14">
        <f>'Приход'!$D21*2</f>
        <v>9400</v>
      </c>
      <c r="E25" s="14">
        <f>'Приход'!D21*$T$16</f>
        <v>5452</v>
      </c>
      <c r="F25" s="13">
        <f>E25*C25</f>
        <v>10904</v>
      </c>
      <c r="G25" s="14">
        <f>D25*$T$15</f>
        <v>6580</v>
      </c>
      <c r="H25" s="13">
        <f>G25*C25</f>
        <v>13160</v>
      </c>
      <c r="I25" s="13">
        <f>D25*0.6*'Приход'!C21</f>
        <v>11280</v>
      </c>
      <c r="J25" s="31">
        <f>C25*D25</f>
        <v>18800</v>
      </c>
      <c r="K25" s="123"/>
      <c r="L25" s="124"/>
      <c r="M25" s="121"/>
      <c r="N25" s="121"/>
      <c r="O25" s="121"/>
      <c r="P25" s="121"/>
      <c r="Q25" s="121"/>
      <c r="R25" s="121"/>
      <c r="S25" s="121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AV25" s="125"/>
      <c r="AW25" s="125"/>
      <c r="AX25" s="125"/>
      <c r="AY25" s="126"/>
    </row>
    <row r="26" ht="15" customHeight="1">
      <c r="A26" s="118">
        <v>20</v>
      </c>
      <c r="B26" t="s" s="29">
        <v>23</v>
      </c>
      <c r="C26" s="30">
        <v>5</v>
      </c>
      <c r="D26" s="14">
        <f>'Приход'!$D22*2</f>
        <v>7000</v>
      </c>
      <c r="E26" s="14">
        <f>'Приход'!D22*$T$16</f>
        <v>4060</v>
      </c>
      <c r="F26" s="13">
        <f>E26*C26</f>
        <v>20300</v>
      </c>
      <c r="G26" s="14">
        <f>D26*$T$15</f>
        <v>4900</v>
      </c>
      <c r="H26" s="13">
        <f>G26*C26</f>
        <v>24500</v>
      </c>
      <c r="I26" s="13">
        <f>D26*0.6*'Приход'!C22</f>
        <v>21000</v>
      </c>
      <c r="J26" s="31">
        <f>C26*D26</f>
        <v>35000</v>
      </c>
      <c r="K26" s="123"/>
      <c r="L26" s="124"/>
      <c r="M26" s="121"/>
      <c r="N26" s="121"/>
      <c r="O26" s="121"/>
      <c r="P26" s="121"/>
      <c r="Q26" s="121"/>
      <c r="R26" s="121"/>
      <c r="S26" s="121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AV26" s="125"/>
      <c r="AW26" s="125"/>
      <c r="AX26" s="125"/>
      <c r="AY26" s="126"/>
    </row>
    <row r="27" ht="15" customHeight="1">
      <c r="A27" s="118">
        <v>21</v>
      </c>
      <c r="B27" t="s" s="29">
        <v>24</v>
      </c>
      <c r="C27" s="30">
        <v>1</v>
      </c>
      <c r="D27" s="14">
        <f>'Приход'!$D23*2</f>
        <v>7000</v>
      </c>
      <c r="E27" s="14">
        <f>'Приход'!D23*$T$16</f>
        <v>4060</v>
      </c>
      <c r="F27" s="13">
        <f>E27*C27</f>
        <v>4060</v>
      </c>
      <c r="G27" s="14">
        <f>D27*$T$15</f>
        <v>4900</v>
      </c>
      <c r="H27" s="13">
        <f>G27*C27</f>
        <v>4900</v>
      </c>
      <c r="I27" s="13">
        <f>D27*0.6*'Приход'!C23</f>
        <v>4200</v>
      </c>
      <c r="J27" s="31">
        <f>C27*D27</f>
        <v>7000</v>
      </c>
      <c r="K27" s="123"/>
      <c r="L27" s="124"/>
      <c r="M27" s="121"/>
      <c r="N27" s="121"/>
      <c r="O27" s="121"/>
      <c r="P27" s="121"/>
      <c r="Q27" s="121"/>
      <c r="R27" s="121"/>
      <c r="S27" s="121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5"/>
      <c r="AS27" s="125"/>
      <c r="AT27" s="125"/>
      <c r="AU27" s="125"/>
      <c r="AV27" s="125"/>
      <c r="AW27" s="125"/>
      <c r="AX27" s="125"/>
      <c r="AY27" s="126"/>
    </row>
    <row r="28" ht="26.55" customHeight="1">
      <c r="A28" s="118">
        <v>22</v>
      </c>
      <c r="B28" t="s" s="29">
        <v>25</v>
      </c>
      <c r="C28" s="30">
        <v>1</v>
      </c>
      <c r="D28" s="14">
        <f>'Приход'!$D24*2</f>
        <v>10600</v>
      </c>
      <c r="E28" s="14">
        <f>'Приход'!D24*$T$16</f>
        <v>6148</v>
      </c>
      <c r="F28" s="13">
        <f>E28*C28</f>
        <v>6148</v>
      </c>
      <c r="G28" s="14">
        <f>D28*$T$15</f>
        <v>7420</v>
      </c>
      <c r="H28" s="13">
        <f>G28*C28</f>
        <v>7420</v>
      </c>
      <c r="I28" s="13">
        <f>D28*0.6*'Приход'!C24</f>
        <v>6360</v>
      </c>
      <c r="J28" s="31">
        <f>C28*D28</f>
        <v>10600</v>
      </c>
      <c r="K28" s="123"/>
      <c r="L28" s="124"/>
      <c r="M28" s="121"/>
      <c r="N28" s="121"/>
      <c r="O28" s="121"/>
      <c r="P28" s="121"/>
      <c r="Q28" s="121"/>
      <c r="R28" s="121"/>
      <c r="S28" s="121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25"/>
      <c r="AN28" s="125"/>
      <c r="AO28" s="125"/>
      <c r="AP28" s="125"/>
      <c r="AQ28" s="125"/>
      <c r="AR28" s="125"/>
      <c r="AS28" s="125"/>
      <c r="AT28" s="125"/>
      <c r="AU28" s="125"/>
      <c r="AV28" s="125"/>
      <c r="AW28" s="125"/>
      <c r="AX28" s="125"/>
      <c r="AY28" s="126"/>
    </row>
    <row r="29" ht="15" customHeight="1">
      <c r="A29" s="118">
        <v>23</v>
      </c>
      <c r="B29" t="s" s="29">
        <v>26</v>
      </c>
      <c r="C29" s="30">
        <v>1</v>
      </c>
      <c r="D29" s="14">
        <f>'Приход'!$D25*2</f>
        <v>14290</v>
      </c>
      <c r="E29" s="14">
        <f>'Приход'!D25*$T$16</f>
        <v>8288.200000000001</v>
      </c>
      <c r="F29" s="13">
        <f>E29*C29</f>
        <v>8288.200000000001</v>
      </c>
      <c r="G29" s="14">
        <f>D29*$T$15</f>
        <v>10003</v>
      </c>
      <c r="H29" s="13">
        <f>G29*C29</f>
        <v>10003</v>
      </c>
      <c r="I29" s="13">
        <f>D29*0.6*'Приход'!C25</f>
        <v>8574</v>
      </c>
      <c r="J29" s="31">
        <f>C29*D29</f>
        <v>14290</v>
      </c>
      <c r="K29" s="123"/>
      <c r="L29" s="124"/>
      <c r="M29" s="121"/>
      <c r="N29" s="121"/>
      <c r="O29" s="121"/>
      <c r="P29" s="121"/>
      <c r="Q29" s="121"/>
      <c r="R29" s="121"/>
      <c r="S29" s="121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25"/>
      <c r="AS29" s="125"/>
      <c r="AT29" s="125"/>
      <c r="AU29" s="125"/>
      <c r="AV29" s="125"/>
      <c r="AW29" s="125"/>
      <c r="AX29" s="125"/>
      <c r="AY29" s="126"/>
    </row>
    <row r="30" ht="15" customHeight="1">
      <c r="A30" s="118">
        <v>24</v>
      </c>
      <c r="B30" t="s" s="29">
        <v>27</v>
      </c>
      <c r="C30" s="30">
        <v>1</v>
      </c>
      <c r="D30" s="14">
        <f>'Приход'!$D26*2</f>
        <v>6990</v>
      </c>
      <c r="E30" s="14">
        <f>'Приход'!D26*$T$16</f>
        <v>4054.2</v>
      </c>
      <c r="F30" s="13">
        <f>E30*C30</f>
        <v>4054.2</v>
      </c>
      <c r="G30" s="14">
        <f>D30*$T$15</f>
        <v>4893</v>
      </c>
      <c r="H30" s="13">
        <f>G30*C30</f>
        <v>4893</v>
      </c>
      <c r="I30" s="13">
        <f>D30*0.6*'Приход'!C26</f>
        <v>4194</v>
      </c>
      <c r="J30" s="31">
        <f>C30*D30</f>
        <v>6990</v>
      </c>
      <c r="K30" s="123"/>
      <c r="L30" s="124"/>
      <c r="M30" s="121"/>
      <c r="N30" s="121"/>
      <c r="O30" s="121"/>
      <c r="P30" s="121"/>
      <c r="Q30" s="121"/>
      <c r="R30" s="121"/>
      <c r="S30" s="121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  <c r="AM30" s="125"/>
      <c r="AN30" s="125"/>
      <c r="AO30" s="125"/>
      <c r="AP30" s="125"/>
      <c r="AQ30" s="125"/>
      <c r="AR30" s="125"/>
      <c r="AS30" s="125"/>
      <c r="AT30" s="125"/>
      <c r="AU30" s="125"/>
      <c r="AV30" s="125"/>
      <c r="AW30" s="125"/>
      <c r="AX30" s="125"/>
      <c r="AY30" s="126"/>
    </row>
    <row r="31" ht="15" customHeight="1">
      <c r="A31" s="118">
        <v>25</v>
      </c>
      <c r="B31" t="s" s="29">
        <v>28</v>
      </c>
      <c r="C31" s="30">
        <v>1</v>
      </c>
      <c r="D31" s="14">
        <f>'Приход'!$D27*2</f>
        <v>3290</v>
      </c>
      <c r="E31" s="14">
        <f>'Приход'!D27*$T$16</f>
        <v>1908.2</v>
      </c>
      <c r="F31" s="13">
        <f>E31*C31</f>
        <v>1908.2</v>
      </c>
      <c r="G31" s="14">
        <f>D31*$T$15</f>
        <v>2303</v>
      </c>
      <c r="H31" s="13">
        <f>G31*C31</f>
        <v>2303</v>
      </c>
      <c r="I31" s="13">
        <f>D31*0.6*'Приход'!C27</f>
        <v>1974</v>
      </c>
      <c r="J31" s="31">
        <f>C31*D31</f>
        <v>3290</v>
      </c>
      <c r="K31" s="123"/>
      <c r="L31" s="124"/>
      <c r="M31" s="121"/>
      <c r="N31" s="121"/>
      <c r="O31" s="121"/>
      <c r="P31" s="121"/>
      <c r="Q31" s="121"/>
      <c r="R31" s="121"/>
      <c r="S31" s="121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5"/>
      <c r="AN31" s="125"/>
      <c r="AO31" s="125"/>
      <c r="AP31" s="125"/>
      <c r="AQ31" s="125"/>
      <c r="AR31" s="125"/>
      <c r="AS31" s="125"/>
      <c r="AT31" s="125"/>
      <c r="AU31" s="125"/>
      <c r="AV31" s="125"/>
      <c r="AW31" s="125"/>
      <c r="AX31" s="125"/>
      <c r="AY31" s="126"/>
    </row>
    <row r="32" ht="15" customHeight="1">
      <c r="A32" s="118">
        <v>26</v>
      </c>
      <c r="B32" t="s" s="29">
        <v>29</v>
      </c>
      <c r="C32" s="30">
        <v>1</v>
      </c>
      <c r="D32" s="14">
        <f>'Приход'!$D28*2</f>
        <v>5990</v>
      </c>
      <c r="E32" s="14">
        <f>'Приход'!D28*$T$16</f>
        <v>3474.2</v>
      </c>
      <c r="F32" s="13">
        <f>E32*C32</f>
        <v>3474.2</v>
      </c>
      <c r="G32" s="14">
        <f>D32*$T$15</f>
        <v>4193</v>
      </c>
      <c r="H32" s="13">
        <f>G32*C32</f>
        <v>4193</v>
      </c>
      <c r="I32" s="13">
        <f>D32*0.6*'Приход'!C28</f>
        <v>3594</v>
      </c>
      <c r="J32" s="31">
        <f>C32*D32</f>
        <v>5990</v>
      </c>
      <c r="K32" s="123"/>
      <c r="L32" s="124"/>
      <c r="M32" s="121"/>
      <c r="N32" s="121"/>
      <c r="O32" s="121"/>
      <c r="P32" s="121"/>
      <c r="Q32" s="121"/>
      <c r="R32" s="121"/>
      <c r="S32" s="121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25"/>
      <c r="AG32" s="125"/>
      <c r="AH32" s="125"/>
      <c r="AI32" s="125"/>
      <c r="AJ32" s="125"/>
      <c r="AK32" s="125"/>
      <c r="AL32" s="125"/>
      <c r="AM32" s="125"/>
      <c r="AN32" s="125"/>
      <c r="AO32" s="125"/>
      <c r="AP32" s="125"/>
      <c r="AQ32" s="125"/>
      <c r="AR32" s="125"/>
      <c r="AS32" s="125"/>
      <c r="AT32" s="125"/>
      <c r="AU32" s="125"/>
      <c r="AV32" s="125"/>
      <c r="AW32" s="125"/>
      <c r="AX32" s="125"/>
      <c r="AY32" s="126"/>
    </row>
    <row r="33" ht="15" customHeight="1">
      <c r="A33" s="118">
        <v>27</v>
      </c>
      <c r="B33" t="s" s="29">
        <v>30</v>
      </c>
      <c r="C33" s="30">
        <v>1</v>
      </c>
      <c r="D33" s="14">
        <f>'Приход'!$D29*2</f>
        <v>9600</v>
      </c>
      <c r="E33" s="14">
        <f>'Приход'!D29*$T$16</f>
        <v>5568</v>
      </c>
      <c r="F33" s="13">
        <f>E33*C33</f>
        <v>5568</v>
      </c>
      <c r="G33" s="14">
        <f>D33*$T$15</f>
        <v>6720</v>
      </c>
      <c r="H33" s="13">
        <f>G33*C33</f>
        <v>6720</v>
      </c>
      <c r="I33" s="13">
        <f>D33*0.6*'Приход'!C29</f>
        <v>5760</v>
      </c>
      <c r="J33" s="31">
        <f>C33*D33</f>
        <v>9600</v>
      </c>
      <c r="K33" s="123"/>
      <c r="L33" s="124"/>
      <c r="M33" s="121"/>
      <c r="N33" s="121"/>
      <c r="O33" s="121"/>
      <c r="P33" s="121"/>
      <c r="Q33" s="121"/>
      <c r="R33" s="121"/>
      <c r="S33" s="121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125"/>
      <c r="AS33" s="125"/>
      <c r="AT33" s="125"/>
      <c r="AU33" s="125"/>
      <c r="AV33" s="125"/>
      <c r="AW33" s="125"/>
      <c r="AX33" s="125"/>
      <c r="AY33" s="126"/>
    </row>
    <row r="34" ht="15" customHeight="1">
      <c r="A34" s="118">
        <v>28</v>
      </c>
      <c r="B34" t="s" s="29">
        <v>31</v>
      </c>
      <c r="C34" s="30">
        <v>1</v>
      </c>
      <c r="D34" s="14">
        <f>'Приход'!$D30*2</f>
        <v>7990</v>
      </c>
      <c r="E34" s="14">
        <f>'Приход'!D30*$T$16</f>
        <v>4634.2</v>
      </c>
      <c r="F34" s="13">
        <f>E34*C34</f>
        <v>4634.2</v>
      </c>
      <c r="G34" s="14">
        <f>D34*$T$15</f>
        <v>5593</v>
      </c>
      <c r="H34" s="13">
        <f>G34*C34</f>
        <v>5593</v>
      </c>
      <c r="I34" s="13">
        <f>D34*0.6*'Приход'!C30</f>
        <v>4794</v>
      </c>
      <c r="J34" s="31">
        <f>C34*D34</f>
        <v>7990</v>
      </c>
      <c r="K34" s="123"/>
      <c r="L34" s="124"/>
      <c r="M34" s="121"/>
      <c r="N34" s="121"/>
      <c r="O34" s="121"/>
      <c r="P34" s="121"/>
      <c r="Q34" s="121"/>
      <c r="R34" s="121"/>
      <c r="S34" s="121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25"/>
      <c r="AI34" s="125"/>
      <c r="AJ34" s="125"/>
      <c r="AK34" s="125"/>
      <c r="AL34" s="125"/>
      <c r="AM34" s="125"/>
      <c r="AN34" s="125"/>
      <c r="AO34" s="125"/>
      <c r="AP34" s="125"/>
      <c r="AQ34" s="125"/>
      <c r="AR34" s="125"/>
      <c r="AS34" s="125"/>
      <c r="AT34" s="125"/>
      <c r="AU34" s="125"/>
      <c r="AV34" s="125"/>
      <c r="AW34" s="125"/>
      <c r="AX34" s="125"/>
      <c r="AY34" s="126"/>
    </row>
    <row r="35" ht="15" customHeight="1">
      <c r="A35" s="118">
        <v>29</v>
      </c>
      <c r="B35" t="s" s="29">
        <v>32</v>
      </c>
      <c r="C35" s="30">
        <v>1</v>
      </c>
      <c r="D35" s="14">
        <f>'Приход'!$D31*2</f>
        <v>16190</v>
      </c>
      <c r="E35" s="14">
        <f>'Приход'!D31*$T$16</f>
        <v>9390.200000000001</v>
      </c>
      <c r="F35" s="13">
        <f>E35*C35</f>
        <v>9390.200000000001</v>
      </c>
      <c r="G35" s="14">
        <f>D35*$T$15</f>
        <v>11333</v>
      </c>
      <c r="H35" s="13">
        <f>G35*C35</f>
        <v>11333</v>
      </c>
      <c r="I35" s="13">
        <f>D35*0.6*'Приход'!C31</f>
        <v>9714</v>
      </c>
      <c r="J35" s="31">
        <f>C35*D35</f>
        <v>16190</v>
      </c>
      <c r="K35" s="123"/>
      <c r="L35" s="124"/>
      <c r="M35" s="121"/>
      <c r="N35" s="121"/>
      <c r="O35" s="121"/>
      <c r="P35" s="121"/>
      <c r="Q35" s="121"/>
      <c r="R35" s="121"/>
      <c r="S35" s="121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6"/>
    </row>
    <row r="36" ht="15" customHeight="1">
      <c r="A36" s="118">
        <v>30</v>
      </c>
      <c r="B36" t="s" s="29">
        <v>33</v>
      </c>
      <c r="C36" s="30">
        <v>1</v>
      </c>
      <c r="D36" s="14">
        <f>'Приход'!$D32*2</f>
        <v>4600</v>
      </c>
      <c r="E36" s="14">
        <f>'Приход'!D32*$T$16</f>
        <v>2668</v>
      </c>
      <c r="F36" s="13">
        <f>E36*C36</f>
        <v>2668</v>
      </c>
      <c r="G36" s="14">
        <f>D36*$T$15</f>
        <v>3220</v>
      </c>
      <c r="H36" s="13">
        <f>G36*C36</f>
        <v>3220</v>
      </c>
      <c r="I36" s="13">
        <f>D36*0.6*'Приход'!C32</f>
        <v>2760</v>
      </c>
      <c r="J36" s="31">
        <f>C36*D36</f>
        <v>4600</v>
      </c>
      <c r="K36" s="123"/>
      <c r="L36" s="124"/>
      <c r="M36" s="121"/>
      <c r="N36" s="121"/>
      <c r="O36" s="121"/>
      <c r="P36" s="121"/>
      <c r="Q36" s="121"/>
      <c r="R36" s="121"/>
      <c r="S36" s="121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5"/>
      <c r="AX36" s="125"/>
      <c r="AY36" s="126"/>
    </row>
    <row r="37" ht="15" customHeight="1">
      <c r="A37" s="118">
        <v>31</v>
      </c>
      <c r="B37" t="s" s="29">
        <v>34</v>
      </c>
      <c r="C37" s="30">
        <v>1</v>
      </c>
      <c r="D37" s="14">
        <f>'Приход'!$D33*2</f>
        <v>10788</v>
      </c>
      <c r="E37" s="14">
        <f>'Приход'!D33*$T$16</f>
        <v>6257.04</v>
      </c>
      <c r="F37" s="13">
        <f>E37*C37</f>
        <v>6257.04</v>
      </c>
      <c r="G37" s="14">
        <f>D37*$T$15</f>
        <v>7551.6</v>
      </c>
      <c r="H37" s="13">
        <f>G37*C37</f>
        <v>7551.6</v>
      </c>
      <c r="I37" s="13">
        <f>D37*0.6*'Приход'!C33</f>
        <v>6472.8</v>
      </c>
      <c r="J37" s="31">
        <f>C37*D37</f>
        <v>10788</v>
      </c>
      <c r="K37" s="123"/>
      <c r="L37" s="124"/>
      <c r="M37" s="121"/>
      <c r="N37" s="121"/>
      <c r="O37" s="121"/>
      <c r="P37" s="121"/>
      <c r="Q37" s="121"/>
      <c r="R37" s="121"/>
      <c r="S37" s="121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  <c r="AM37" s="125"/>
      <c r="AN37" s="125"/>
      <c r="AO37" s="125"/>
      <c r="AP37" s="125"/>
      <c r="AQ37" s="125"/>
      <c r="AR37" s="125"/>
      <c r="AS37" s="125"/>
      <c r="AT37" s="125"/>
      <c r="AU37" s="125"/>
      <c r="AV37" s="125"/>
      <c r="AW37" s="125"/>
      <c r="AX37" s="125"/>
      <c r="AY37" s="126"/>
    </row>
    <row r="38" ht="15" customHeight="1">
      <c r="A38" s="118">
        <v>32</v>
      </c>
      <c r="B38" t="s" s="29">
        <v>35</v>
      </c>
      <c r="C38" s="30">
        <v>1</v>
      </c>
      <c r="D38" s="14">
        <f>'Приход'!$D34*2</f>
        <v>10428</v>
      </c>
      <c r="E38" s="14">
        <f>'Приход'!D34*$T$16</f>
        <v>6048.24</v>
      </c>
      <c r="F38" s="13">
        <f>E38*C38</f>
        <v>6048.24</v>
      </c>
      <c r="G38" s="14">
        <f>D38*$T$15</f>
        <v>7299.6</v>
      </c>
      <c r="H38" s="13">
        <f>G38*C38</f>
        <v>7299.6</v>
      </c>
      <c r="I38" s="13">
        <f>D38*0.6*'Приход'!C34</f>
        <v>6256.8</v>
      </c>
      <c r="J38" s="31">
        <f>C38*D38</f>
        <v>10428</v>
      </c>
      <c r="K38" s="123"/>
      <c r="L38" s="124"/>
      <c r="M38" s="121"/>
      <c r="N38" s="121"/>
      <c r="O38" s="121"/>
      <c r="P38" s="121"/>
      <c r="Q38" s="121"/>
      <c r="R38" s="121"/>
      <c r="S38" s="121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25"/>
      <c r="AN38" s="125"/>
      <c r="AO38" s="125"/>
      <c r="AP38" s="125"/>
      <c r="AQ38" s="125"/>
      <c r="AR38" s="125"/>
      <c r="AS38" s="125"/>
      <c r="AT38" s="125"/>
      <c r="AU38" s="125"/>
      <c r="AV38" s="125"/>
      <c r="AW38" s="125"/>
      <c r="AX38" s="125"/>
      <c r="AY38" s="126"/>
    </row>
    <row r="39" ht="15" customHeight="1">
      <c r="A39" s="118">
        <v>33</v>
      </c>
      <c r="B39" t="s" s="29">
        <v>36</v>
      </c>
      <c r="C39" s="30">
        <v>5</v>
      </c>
      <c r="D39" s="14">
        <f>'Приход'!$D35*2</f>
        <v>7690</v>
      </c>
      <c r="E39" s="14">
        <f>'Приход'!D35*$T$16</f>
        <v>4460.2</v>
      </c>
      <c r="F39" s="13">
        <f>E39*C39</f>
        <v>22301</v>
      </c>
      <c r="G39" s="14">
        <f>D39*$T$15</f>
        <v>5383</v>
      </c>
      <c r="H39" s="13">
        <f>G39*C39</f>
        <v>26915</v>
      </c>
      <c r="I39" s="13">
        <f>D39*0.6*'Приход'!C35</f>
        <v>23070</v>
      </c>
      <c r="J39" s="31">
        <f>C39*D39</f>
        <v>38450</v>
      </c>
      <c r="K39" s="123"/>
      <c r="L39" s="124"/>
      <c r="M39" s="121"/>
      <c r="N39" s="121"/>
      <c r="O39" s="121"/>
      <c r="P39" s="121"/>
      <c r="Q39" s="121"/>
      <c r="R39" s="121"/>
      <c r="S39" s="121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  <c r="AM39" s="125"/>
      <c r="AN39" s="125"/>
      <c r="AO39" s="125"/>
      <c r="AP39" s="125"/>
      <c r="AQ39" s="125"/>
      <c r="AR39" s="125"/>
      <c r="AS39" s="125"/>
      <c r="AT39" s="125"/>
      <c r="AU39" s="125"/>
      <c r="AV39" s="125"/>
      <c r="AW39" s="125"/>
      <c r="AX39" s="125"/>
      <c r="AY39" s="126"/>
    </row>
    <row r="40" ht="15" customHeight="1">
      <c r="A40" s="118">
        <v>34</v>
      </c>
      <c r="B40" t="s" s="29">
        <v>37</v>
      </c>
      <c r="C40" s="30">
        <v>5</v>
      </c>
      <c r="D40" s="14">
        <f>'Приход'!$D36*2</f>
        <v>7690</v>
      </c>
      <c r="E40" s="14">
        <f>'Приход'!D36*$T$16</f>
        <v>4460.2</v>
      </c>
      <c r="F40" s="13">
        <f>E40*C40</f>
        <v>22301</v>
      </c>
      <c r="G40" s="14">
        <f>D40*$T$15</f>
        <v>5383</v>
      </c>
      <c r="H40" s="13">
        <f>G40*C40</f>
        <v>26915</v>
      </c>
      <c r="I40" s="13">
        <f>D40*0.6*'Приход'!C36</f>
        <v>23070</v>
      </c>
      <c r="J40" s="31">
        <f>C40*D40</f>
        <v>38450</v>
      </c>
      <c r="K40" s="123"/>
      <c r="L40" s="124"/>
      <c r="M40" s="121"/>
      <c r="N40" s="121"/>
      <c r="O40" s="121"/>
      <c r="P40" s="121"/>
      <c r="Q40" s="121"/>
      <c r="R40" s="121"/>
      <c r="S40" s="121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6"/>
    </row>
    <row r="41" ht="15" customHeight="1">
      <c r="A41" s="118">
        <v>35</v>
      </c>
      <c r="B41" t="s" s="29">
        <v>38</v>
      </c>
      <c r="C41" s="30">
        <v>3</v>
      </c>
      <c r="D41" s="14">
        <f>'Приход'!$D37*2</f>
        <v>7690</v>
      </c>
      <c r="E41" s="14">
        <f>'Приход'!D37*$T$16</f>
        <v>4460.2</v>
      </c>
      <c r="F41" s="13">
        <f>E41*C41</f>
        <v>13380.6</v>
      </c>
      <c r="G41" s="14">
        <f>D41*$T$15</f>
        <v>5383</v>
      </c>
      <c r="H41" s="13">
        <f>G41*C41</f>
        <v>16149</v>
      </c>
      <c r="I41" s="13">
        <f>D41*0.6*'Приход'!C37</f>
        <v>13842</v>
      </c>
      <c r="J41" s="31">
        <f>C41*D41</f>
        <v>23070</v>
      </c>
      <c r="K41" s="127"/>
      <c r="L41" s="128"/>
      <c r="M41" s="121"/>
      <c r="N41" s="121"/>
      <c r="O41" s="121"/>
      <c r="P41" s="121"/>
      <c r="Q41" s="121"/>
      <c r="R41" s="121"/>
      <c r="S41" s="121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AV41" s="125"/>
      <c r="AW41" s="125"/>
      <c r="AX41" s="125"/>
      <c r="AY41" s="126"/>
    </row>
    <row r="42" ht="13.55" customHeight="1">
      <c r="A42" s="109"/>
      <c r="B42" s="110"/>
      <c r="C42" s="129"/>
      <c r="D42" s="129"/>
      <c r="E42" s="112">
        <f>'Приход'!D38*$T$16</f>
        <v>0</v>
      </c>
      <c r="F42" s="112">
        <f>E42*C42</f>
        <v>0</v>
      </c>
      <c r="G42" s="112">
        <f>D42*$T$15</f>
        <v>0</v>
      </c>
      <c r="H42" s="129"/>
      <c r="I42" s="129"/>
      <c r="J42" s="130"/>
      <c r="K42" t="s" s="42">
        <v>0</v>
      </c>
      <c r="L42" s="43">
        <f>SUM(J43)</f>
        <v>50000</v>
      </c>
      <c r="M42" t="s" s="131">
        <v>69</v>
      </c>
      <c r="N42" s="132">
        <f>SUM(I43)</f>
        <v>30000</v>
      </c>
      <c r="O42" t="s" s="116">
        <v>70</v>
      </c>
      <c r="P42" s="117">
        <f>SUM(H43)</f>
        <v>35000</v>
      </c>
      <c r="Q42" s="133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AV42" s="125"/>
      <c r="AW42" s="125"/>
      <c r="AX42" s="125"/>
      <c r="AY42" s="126"/>
    </row>
    <row r="43" ht="15" customHeight="1">
      <c r="A43" s="134">
        <v>36</v>
      </c>
      <c r="B43" t="s" s="46">
        <v>39</v>
      </c>
      <c r="C43" s="47">
        <v>1</v>
      </c>
      <c r="D43" s="14">
        <f>'Приход'!$D39*2</f>
        <v>50000</v>
      </c>
      <c r="E43" s="14">
        <f>'Приход'!D39*$T$16</f>
        <v>29000</v>
      </c>
      <c r="F43" s="13">
        <f>E43*C43</f>
        <v>29000</v>
      </c>
      <c r="G43" s="14">
        <f>D43*$T$15</f>
        <v>35000</v>
      </c>
      <c r="H43" s="13">
        <f>G43*C43</f>
        <v>35000</v>
      </c>
      <c r="I43" s="13">
        <f>D43*0.6*'Приход'!C39</f>
        <v>30000</v>
      </c>
      <c r="J43" s="48">
        <f>C43*D43</f>
        <v>50000</v>
      </c>
      <c r="K43" s="135"/>
      <c r="L43" s="96"/>
      <c r="M43" s="69"/>
      <c r="N43" s="69"/>
      <c r="O43" s="94"/>
      <c r="P43" s="94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74"/>
    </row>
    <row r="44" ht="13.55" customHeight="1">
      <c r="A44" s="109"/>
      <c r="B44" s="110"/>
      <c r="C44" s="96"/>
      <c r="D44" s="96"/>
      <c r="E44" s="112">
        <f>'Приход'!D40*$T$16</f>
        <v>0</v>
      </c>
      <c r="F44" s="112">
        <f>E44*C44</f>
        <v>0</v>
      </c>
      <c r="G44" s="112">
        <f>D44*$T$15</f>
        <v>0</v>
      </c>
      <c r="H44" s="96"/>
      <c r="I44" s="96"/>
      <c r="J44" s="113"/>
      <c r="K44" t="s" s="50">
        <v>0</v>
      </c>
      <c r="L44" s="51">
        <f>SUM(J45:J66)</f>
        <v>572970</v>
      </c>
      <c r="M44" t="s" s="136">
        <v>69</v>
      </c>
      <c r="N44" s="137">
        <f>SUM(I45:I66)</f>
        <v>343782</v>
      </c>
      <c r="O44" t="s" s="116">
        <v>70</v>
      </c>
      <c r="P44" s="117">
        <f>SUM(H45:H66)</f>
        <v>401079</v>
      </c>
      <c r="Q44" s="73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74"/>
    </row>
    <row r="45" ht="15" customHeight="1">
      <c r="A45" s="138">
        <v>37</v>
      </c>
      <c r="B45" t="s" s="53">
        <v>40</v>
      </c>
      <c r="C45" s="54">
        <v>1</v>
      </c>
      <c r="D45" s="14">
        <f>'Приход'!$D41*2</f>
        <v>21990</v>
      </c>
      <c r="E45" s="13">
        <f>'Приход'!D41*$T$16</f>
        <v>12754.2</v>
      </c>
      <c r="F45" s="139">
        <f>E45*C45</f>
        <v>12754.2</v>
      </c>
      <c r="G45" s="14">
        <f>D45*$T$15</f>
        <v>15393</v>
      </c>
      <c r="H45" s="13">
        <f>G45*C45</f>
        <v>15393</v>
      </c>
      <c r="I45" s="13">
        <f>D45*0.6*'Приход'!C41</f>
        <v>13194</v>
      </c>
      <c r="J45" s="140">
        <f>C45*D45</f>
        <v>21990</v>
      </c>
      <c r="K45" s="93"/>
      <c r="L45" s="94"/>
      <c r="M45" s="69"/>
      <c r="N45" s="69"/>
      <c r="O45" s="94"/>
      <c r="P45" s="94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74"/>
    </row>
    <row r="46" ht="15" customHeight="1">
      <c r="A46" s="138">
        <v>38</v>
      </c>
      <c r="B46" t="s" s="53">
        <v>41</v>
      </c>
      <c r="C46" s="54">
        <v>10</v>
      </c>
      <c r="D46" s="14">
        <f>'Приход'!$D42*2</f>
        <v>6920</v>
      </c>
      <c r="E46" s="13">
        <f>'Приход'!D42*$T$16</f>
        <v>4013.6</v>
      </c>
      <c r="F46" s="139">
        <f>E46*C46</f>
        <v>40136</v>
      </c>
      <c r="G46" s="14">
        <f>D46*$T$15</f>
        <v>4844</v>
      </c>
      <c r="H46" s="13">
        <f>G46*C46</f>
        <v>48440</v>
      </c>
      <c r="I46" s="13">
        <f>D46*0.6*'Приход'!C42</f>
        <v>41520</v>
      </c>
      <c r="J46" s="140">
        <f>C46*D46</f>
        <v>69200</v>
      </c>
      <c r="K46" s="73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74"/>
    </row>
    <row r="47" ht="15" customHeight="1">
      <c r="A47" s="138">
        <v>39</v>
      </c>
      <c r="B47" t="s" s="53">
        <v>42</v>
      </c>
      <c r="C47" s="54">
        <v>5</v>
      </c>
      <c r="D47" s="14">
        <f>'Приход'!$D43*2</f>
        <v>4830</v>
      </c>
      <c r="E47" s="13">
        <f>'Приход'!D43*$T$16</f>
        <v>2801.4</v>
      </c>
      <c r="F47" s="139">
        <f>E47*C47</f>
        <v>14007</v>
      </c>
      <c r="G47" s="14">
        <f>D47*$T$15</f>
        <v>3381</v>
      </c>
      <c r="H47" s="13">
        <f>G47*C47</f>
        <v>16905</v>
      </c>
      <c r="I47" s="13">
        <f>D47*0.6*'Приход'!C43</f>
        <v>14490</v>
      </c>
      <c r="J47" s="140">
        <f>C47*D47</f>
        <v>24150</v>
      </c>
      <c r="K47" s="73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74"/>
    </row>
    <row r="48" ht="15" customHeight="1">
      <c r="A48" s="138">
        <v>40</v>
      </c>
      <c r="B48" t="s" s="53">
        <v>43</v>
      </c>
      <c r="C48" s="54">
        <v>5</v>
      </c>
      <c r="D48" s="14">
        <f>'Приход'!$D44*2</f>
        <v>4830</v>
      </c>
      <c r="E48" s="13">
        <f>'Приход'!D44*$T$16</f>
        <v>2801.4</v>
      </c>
      <c r="F48" s="139">
        <f>E48*C48</f>
        <v>14007</v>
      </c>
      <c r="G48" s="14">
        <f>D48*$T$15</f>
        <v>3381</v>
      </c>
      <c r="H48" s="13">
        <f>G48*C48</f>
        <v>16905</v>
      </c>
      <c r="I48" s="13">
        <f>D48*0.6*'Приход'!C44</f>
        <v>14490</v>
      </c>
      <c r="J48" s="140">
        <f>C48*D48</f>
        <v>24150</v>
      </c>
      <c r="K48" s="73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74"/>
    </row>
    <row r="49" ht="15" customHeight="1">
      <c r="A49" s="138">
        <v>41</v>
      </c>
      <c r="B49" t="s" s="53">
        <v>44</v>
      </c>
      <c r="C49" s="54">
        <v>1</v>
      </c>
      <c r="D49" s="14">
        <f>'Приход'!$D45*2</f>
        <v>6040</v>
      </c>
      <c r="E49" s="13">
        <f>'Приход'!D45*$T$16</f>
        <v>3503.2</v>
      </c>
      <c r="F49" s="139">
        <f>E49*C49</f>
        <v>3503.2</v>
      </c>
      <c r="G49" s="14">
        <f>D49*$T$15</f>
        <v>4228</v>
      </c>
      <c r="H49" s="13">
        <f>G49*C49</f>
        <v>4228</v>
      </c>
      <c r="I49" s="13">
        <f>D49*0.6*'Приход'!C45</f>
        <v>3624</v>
      </c>
      <c r="J49" s="140">
        <f>C49*D49</f>
        <v>6040</v>
      </c>
      <c r="K49" s="73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74"/>
    </row>
    <row r="50" ht="15" customHeight="1">
      <c r="A50" s="138">
        <v>42</v>
      </c>
      <c r="B50" t="s" s="53">
        <v>45</v>
      </c>
      <c r="C50" s="54">
        <v>1</v>
      </c>
      <c r="D50" s="14">
        <f>'Приход'!$D46*2</f>
        <v>3890</v>
      </c>
      <c r="E50" s="13">
        <f>'Приход'!D46*$T$16</f>
        <v>2256.2</v>
      </c>
      <c r="F50" s="139">
        <f>E50*C50</f>
        <v>2256.2</v>
      </c>
      <c r="G50" s="14">
        <f>D50*$T$15</f>
        <v>2723</v>
      </c>
      <c r="H50" s="13">
        <f>G50*C50</f>
        <v>2723</v>
      </c>
      <c r="I50" s="13">
        <f>D50*0.6*'Приход'!C46</f>
        <v>2334</v>
      </c>
      <c r="J50" s="140">
        <f>C50*D50</f>
        <v>3890</v>
      </c>
      <c r="K50" s="73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74"/>
    </row>
    <row r="51" ht="27" customHeight="1">
      <c r="A51" s="138">
        <v>43</v>
      </c>
      <c r="B51" t="s" s="53">
        <v>46</v>
      </c>
      <c r="C51" s="54">
        <v>1</v>
      </c>
      <c r="D51" s="14">
        <f>'Приход'!$D47*2</f>
        <v>7140</v>
      </c>
      <c r="E51" s="13">
        <f>'Приход'!D47*$T$16</f>
        <v>4141.2</v>
      </c>
      <c r="F51" s="139">
        <f>E51*C51</f>
        <v>4141.2</v>
      </c>
      <c r="G51" s="14">
        <f>D51*$T$15</f>
        <v>4998</v>
      </c>
      <c r="H51" s="13">
        <f>G51*C51</f>
        <v>4998</v>
      </c>
      <c r="I51" s="13">
        <f>D51*0.6*'Приход'!C47</f>
        <v>4284</v>
      </c>
      <c r="J51" s="140">
        <f>C51*D51</f>
        <v>7140</v>
      </c>
      <c r="K51" s="73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74"/>
    </row>
    <row r="52" ht="27" customHeight="1">
      <c r="A52" s="138">
        <v>44</v>
      </c>
      <c r="B52" t="s" s="53">
        <v>47</v>
      </c>
      <c r="C52" s="54">
        <v>1</v>
      </c>
      <c r="D52" s="14">
        <f>'Приход'!$D48*2</f>
        <v>10880</v>
      </c>
      <c r="E52" s="13">
        <f>'Приход'!D48*$T$16</f>
        <v>6310.4</v>
      </c>
      <c r="F52" s="139">
        <f>E52*C52</f>
        <v>6310.4</v>
      </c>
      <c r="G52" s="14">
        <f>D52*$T$15</f>
        <v>7616</v>
      </c>
      <c r="H52" s="13">
        <f>G52*C52</f>
        <v>7616</v>
      </c>
      <c r="I52" s="13">
        <f>D52*0.6*'Приход'!C48</f>
        <v>6528</v>
      </c>
      <c r="J52" s="140">
        <f>C52*D52</f>
        <v>10880</v>
      </c>
      <c r="K52" s="73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74"/>
    </row>
    <row r="53" ht="27" customHeight="1">
      <c r="A53" s="138">
        <v>45</v>
      </c>
      <c r="B53" t="s" s="53">
        <v>48</v>
      </c>
      <c r="C53" s="54">
        <v>10</v>
      </c>
      <c r="D53" s="14">
        <f>'Приход'!$D49*2</f>
        <v>5050</v>
      </c>
      <c r="E53" s="13">
        <f>'Приход'!D49*$T$16</f>
        <v>2929</v>
      </c>
      <c r="F53" s="139">
        <f>E53*C53</f>
        <v>29290</v>
      </c>
      <c r="G53" s="14">
        <f>D53*$T$15</f>
        <v>3535</v>
      </c>
      <c r="H53" s="13">
        <f>G53*C53</f>
        <v>35350</v>
      </c>
      <c r="I53" s="13">
        <f>D53*0.6*'Приход'!C49</f>
        <v>30300</v>
      </c>
      <c r="J53" s="140">
        <f>C53*D53</f>
        <v>50500</v>
      </c>
      <c r="K53" s="73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74"/>
    </row>
    <row r="54" ht="27" customHeight="1">
      <c r="A54" s="138">
        <v>46</v>
      </c>
      <c r="B54" t="s" s="53">
        <v>49</v>
      </c>
      <c r="C54" s="54">
        <v>5</v>
      </c>
      <c r="D54" s="14">
        <f>'Приход'!$D50*2</f>
        <v>5050</v>
      </c>
      <c r="E54" s="13">
        <f>'Приход'!D50*$T$16</f>
        <v>2929</v>
      </c>
      <c r="F54" s="139">
        <f>E54*C54</f>
        <v>14645</v>
      </c>
      <c r="G54" s="14">
        <f>D54*$T$15</f>
        <v>3535</v>
      </c>
      <c r="H54" s="13">
        <f>G54*C54</f>
        <v>17675</v>
      </c>
      <c r="I54" s="13">
        <f>D54*0.6*'Приход'!C50</f>
        <v>15150</v>
      </c>
      <c r="J54" s="140">
        <f>C54*D54</f>
        <v>25250</v>
      </c>
      <c r="K54" s="73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74"/>
    </row>
    <row r="55" ht="15" customHeight="1">
      <c r="A55" s="138">
        <v>47</v>
      </c>
      <c r="B55" t="s" s="53">
        <v>50</v>
      </c>
      <c r="C55" s="54">
        <v>5</v>
      </c>
      <c r="D55" s="14">
        <f>'Приход'!$D51*2</f>
        <v>6920</v>
      </c>
      <c r="E55" s="13">
        <f>'Приход'!D51*$T$16</f>
        <v>4013.6</v>
      </c>
      <c r="F55" s="139">
        <f>E55*C55</f>
        <v>20068</v>
      </c>
      <c r="G55" s="14">
        <f>D55*$T$15</f>
        <v>4844</v>
      </c>
      <c r="H55" s="13">
        <f>G55*C55</f>
        <v>24220</v>
      </c>
      <c r="I55" s="13">
        <f>D55*0.6*'Приход'!C51</f>
        <v>20760</v>
      </c>
      <c r="J55" s="140">
        <f>C55*D55</f>
        <v>34600</v>
      </c>
      <c r="K55" s="73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74"/>
    </row>
    <row r="56" ht="15" customHeight="1">
      <c r="A56" s="138">
        <v>48</v>
      </c>
      <c r="B56" t="s" s="53">
        <v>51</v>
      </c>
      <c r="C56" s="54">
        <v>2</v>
      </c>
      <c r="D56" s="14">
        <f>'Приход'!$D52*2</f>
        <v>7140</v>
      </c>
      <c r="E56" s="13">
        <f>'Приход'!D52*$T$16</f>
        <v>4141.2</v>
      </c>
      <c r="F56" s="139">
        <f>E56*C56</f>
        <v>8282.4</v>
      </c>
      <c r="G56" s="14">
        <f>D56*$T$15</f>
        <v>4998</v>
      </c>
      <c r="H56" s="13">
        <f>G56*C56</f>
        <v>9996</v>
      </c>
      <c r="I56" s="13">
        <f>D56*0.6*'Приход'!C52</f>
        <v>8568</v>
      </c>
      <c r="J56" s="140">
        <f>C56*D56</f>
        <v>14280</v>
      </c>
      <c r="K56" s="73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74"/>
    </row>
    <row r="57" ht="15" customHeight="1">
      <c r="A57" s="138">
        <v>49</v>
      </c>
      <c r="B57" t="s" s="53">
        <v>52</v>
      </c>
      <c r="C57" s="54">
        <v>2</v>
      </c>
      <c r="D57" s="14">
        <f>'Приход'!$D53*2</f>
        <v>5380</v>
      </c>
      <c r="E57" s="13">
        <f>'Приход'!D53*$T$16</f>
        <v>3120.4</v>
      </c>
      <c r="F57" s="139">
        <f>E57*C57</f>
        <v>6240.8</v>
      </c>
      <c r="G57" s="14">
        <f>D57*$T$15</f>
        <v>3766</v>
      </c>
      <c r="H57" s="13">
        <f>G57*C57</f>
        <v>7532</v>
      </c>
      <c r="I57" s="13">
        <f>D57*0.6*'Приход'!C53</f>
        <v>6456</v>
      </c>
      <c r="J57" s="140">
        <f>C57*D57</f>
        <v>10760</v>
      </c>
      <c r="K57" s="73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74"/>
    </row>
    <row r="58" ht="15" customHeight="1">
      <c r="A58" s="138">
        <v>50</v>
      </c>
      <c r="B58" t="s" s="53">
        <v>53</v>
      </c>
      <c r="C58" s="54">
        <v>3</v>
      </c>
      <c r="D58" s="14">
        <f>'Приход'!$D54*2</f>
        <v>5050</v>
      </c>
      <c r="E58" s="13">
        <f>'Приход'!D54*$T$16</f>
        <v>2929</v>
      </c>
      <c r="F58" s="139">
        <f>E58*C58</f>
        <v>8787</v>
      </c>
      <c r="G58" s="14">
        <f>D58*$T$15</f>
        <v>3535</v>
      </c>
      <c r="H58" s="13">
        <f>G58*C58</f>
        <v>10605</v>
      </c>
      <c r="I58" s="13">
        <f>D58*0.6*'Приход'!C54</f>
        <v>9090</v>
      </c>
      <c r="J58" s="140">
        <f>C58*D58</f>
        <v>15150</v>
      </c>
      <c r="K58" s="73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74"/>
    </row>
    <row r="59" ht="15" customHeight="1">
      <c r="A59" s="138">
        <v>51</v>
      </c>
      <c r="B59" t="s" s="53">
        <v>54</v>
      </c>
      <c r="C59" s="54">
        <v>2</v>
      </c>
      <c r="D59" s="14">
        <f>'Приход'!$D55*2</f>
        <v>7470</v>
      </c>
      <c r="E59" s="13">
        <f>'Приход'!D55*$T$16</f>
        <v>4332.6</v>
      </c>
      <c r="F59" s="139">
        <f>E59*C59</f>
        <v>8665.200000000001</v>
      </c>
      <c r="G59" s="14">
        <f>D59*$T$15</f>
        <v>5229</v>
      </c>
      <c r="H59" s="13">
        <f>G59*C59</f>
        <v>10458</v>
      </c>
      <c r="I59" s="13">
        <f>D59*0.6*'Приход'!C55</f>
        <v>8964</v>
      </c>
      <c r="J59" s="140">
        <f>C59*D59</f>
        <v>14940</v>
      </c>
      <c r="K59" s="73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74"/>
    </row>
    <row r="60" ht="15" customHeight="1">
      <c r="A60" s="138">
        <v>52</v>
      </c>
      <c r="B60" t="s" s="53">
        <v>55</v>
      </c>
      <c r="C60" s="54">
        <v>3</v>
      </c>
      <c r="D60" s="14">
        <f>'Приход'!$D56*2</f>
        <v>6920</v>
      </c>
      <c r="E60" s="13">
        <f>'Приход'!D56*$T$16</f>
        <v>4013.6</v>
      </c>
      <c r="F60" s="139">
        <f>E60*C60</f>
        <v>12040.8</v>
      </c>
      <c r="G60" s="14">
        <f>D60*$T$15</f>
        <v>4844</v>
      </c>
      <c r="H60" s="13">
        <f>G60*C60</f>
        <v>14532</v>
      </c>
      <c r="I60" s="13">
        <f>D60*0.6*'Приход'!C56</f>
        <v>12456</v>
      </c>
      <c r="J60" s="140">
        <f>C60*D60</f>
        <v>20760</v>
      </c>
      <c r="K60" s="73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74"/>
    </row>
    <row r="61" ht="27" customHeight="1">
      <c r="A61" s="138">
        <v>53</v>
      </c>
      <c r="B61" t="s" s="53">
        <v>56</v>
      </c>
      <c r="C61" s="54">
        <v>4</v>
      </c>
      <c r="D61" s="14">
        <f>'Приход'!$D57*2</f>
        <v>8790</v>
      </c>
      <c r="E61" s="13">
        <f>'Приход'!D57*$T$16</f>
        <v>5098.2</v>
      </c>
      <c r="F61" s="139">
        <f>E61*C61</f>
        <v>20392.8</v>
      </c>
      <c r="G61" s="14">
        <f>D61*$T$15</f>
        <v>6153</v>
      </c>
      <c r="H61" s="13">
        <f>G61*C61</f>
        <v>24612</v>
      </c>
      <c r="I61" s="13">
        <f>D61*0.6*'Приход'!C57</f>
        <v>21096</v>
      </c>
      <c r="J61" s="140">
        <f>C61*D61</f>
        <v>35160</v>
      </c>
      <c r="K61" s="73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74"/>
    </row>
    <row r="62" ht="27" customHeight="1">
      <c r="A62" s="138">
        <v>54</v>
      </c>
      <c r="B62" t="s" s="53">
        <v>57</v>
      </c>
      <c r="C62" s="54">
        <v>2</v>
      </c>
      <c r="D62" s="14">
        <f>'Приход'!$D58*2</f>
        <v>8790</v>
      </c>
      <c r="E62" s="13">
        <f>'Приход'!D58*$T$16</f>
        <v>5098.2</v>
      </c>
      <c r="F62" s="139">
        <f>E62*C62</f>
        <v>10196.4</v>
      </c>
      <c r="G62" s="14">
        <f>D62*$T$15</f>
        <v>6153</v>
      </c>
      <c r="H62" s="13">
        <f>G62*C62</f>
        <v>12306</v>
      </c>
      <c r="I62" s="13">
        <f>D62*0.6*'Приход'!C58</f>
        <v>10548</v>
      </c>
      <c r="J62" s="140">
        <f>C62*D62</f>
        <v>17580</v>
      </c>
      <c r="K62" s="73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74"/>
    </row>
    <row r="63" ht="27" customHeight="1">
      <c r="A63" s="138">
        <v>55</v>
      </c>
      <c r="B63" t="s" s="53">
        <v>58</v>
      </c>
      <c r="C63" s="54">
        <v>5</v>
      </c>
      <c r="D63" s="14">
        <f>'Приход'!$D59*2</f>
        <v>8790</v>
      </c>
      <c r="E63" s="13">
        <f>'Приход'!D59*$T$16</f>
        <v>5098.2</v>
      </c>
      <c r="F63" s="139">
        <f>E63*C63</f>
        <v>25491</v>
      </c>
      <c r="G63" s="14">
        <f>D63*$T$15</f>
        <v>6153</v>
      </c>
      <c r="H63" s="13">
        <f>G63*C63</f>
        <v>30765</v>
      </c>
      <c r="I63" s="13">
        <f>D63*0.6*'Приход'!C59</f>
        <v>26370</v>
      </c>
      <c r="J63" s="140">
        <f>C63*D63</f>
        <v>43950</v>
      </c>
      <c r="K63" s="73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74"/>
    </row>
    <row r="64" ht="15" customHeight="1">
      <c r="A64" s="138">
        <v>56</v>
      </c>
      <c r="B64" t="s" s="53">
        <v>59</v>
      </c>
      <c r="C64" s="54">
        <v>2</v>
      </c>
      <c r="D64" s="14">
        <f>'Приход'!$D60*2</f>
        <v>10320</v>
      </c>
      <c r="E64" s="13">
        <f>'Приход'!D60*$T$16</f>
        <v>5985.6</v>
      </c>
      <c r="F64" s="139">
        <f>E64*C64</f>
        <v>11971.2</v>
      </c>
      <c r="G64" s="14">
        <f>D64*$T$15</f>
        <v>7224</v>
      </c>
      <c r="H64" s="13">
        <f>G64*C64</f>
        <v>14448</v>
      </c>
      <c r="I64" s="13">
        <f>D64*0.6*'Приход'!C60</f>
        <v>12384</v>
      </c>
      <c r="J64" s="140">
        <f>C64*D64</f>
        <v>20640</v>
      </c>
      <c r="K64" s="73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74"/>
    </row>
    <row r="65" ht="15" customHeight="1">
      <c r="A65" s="138">
        <v>57</v>
      </c>
      <c r="B65" t="s" s="53">
        <v>60</v>
      </c>
      <c r="C65" s="54">
        <v>2</v>
      </c>
      <c r="D65" s="14">
        <f>'Приход'!$D61*2</f>
        <v>22420</v>
      </c>
      <c r="E65" s="13">
        <f>'Приход'!D61*$T$16</f>
        <v>13003.6</v>
      </c>
      <c r="F65" s="139">
        <f>E65*C65</f>
        <v>26007.2</v>
      </c>
      <c r="G65" s="14">
        <f>D65*$T$15</f>
        <v>15694</v>
      </c>
      <c r="H65" s="13">
        <f>G65*C65</f>
        <v>31388</v>
      </c>
      <c r="I65" s="13">
        <f>D65*0.6*'Приход'!C61</f>
        <v>26904</v>
      </c>
      <c r="J65" s="140">
        <f>C65*D65</f>
        <v>44840</v>
      </c>
      <c r="K65" s="73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74"/>
    </row>
    <row r="66" ht="15" customHeight="1">
      <c r="A66" s="138">
        <v>58</v>
      </c>
      <c r="B66" t="s" s="53">
        <v>61</v>
      </c>
      <c r="C66" s="54">
        <v>4</v>
      </c>
      <c r="D66" s="14">
        <f>'Приход'!$D62*2</f>
        <v>14280</v>
      </c>
      <c r="E66" s="13">
        <f>'Приход'!D62*$T$16</f>
        <v>8282.4</v>
      </c>
      <c r="F66" s="139">
        <f>E66*C66</f>
        <v>33129.6</v>
      </c>
      <c r="G66" s="14">
        <f>D66*$T$15</f>
        <v>9996</v>
      </c>
      <c r="H66" s="13">
        <f>G66*C66</f>
        <v>39984</v>
      </c>
      <c r="I66" s="13">
        <f>D66*0.6*'Приход'!C62</f>
        <v>34272</v>
      </c>
      <c r="J66" s="140">
        <f>C66*D66</f>
        <v>57120</v>
      </c>
      <c r="K66" s="73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74"/>
    </row>
    <row r="67" ht="13.2" customHeight="1">
      <c r="A67" s="141">
        <v>59</v>
      </c>
      <c r="B67" s="142"/>
      <c r="C67" s="94"/>
      <c r="D67" s="94"/>
      <c r="E67" s="94"/>
      <c r="F67" s="94"/>
      <c r="G67" s="94"/>
      <c r="H67" s="94"/>
      <c r="I67" s="94"/>
      <c r="J67" s="94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74"/>
    </row>
    <row r="68" ht="12.9" customHeight="1">
      <c r="A68" s="143">
        <v>60</v>
      </c>
      <c r="B68" s="144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74"/>
    </row>
    <row r="69" ht="12.9" customHeight="1">
      <c r="A69" s="143">
        <v>61</v>
      </c>
      <c r="B69" s="144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74"/>
    </row>
    <row r="70" ht="12.9" customHeight="1">
      <c r="A70" s="143">
        <v>62</v>
      </c>
      <c r="B70" s="144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74"/>
    </row>
    <row r="71" ht="12.9" customHeight="1">
      <c r="A71" s="143">
        <v>63</v>
      </c>
      <c r="B71" s="144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74"/>
    </row>
    <row r="72" ht="12.9" customHeight="1">
      <c r="A72" s="143">
        <v>64</v>
      </c>
      <c r="B72" s="144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74"/>
    </row>
    <row r="73" ht="12.9" customHeight="1">
      <c r="A73" s="143">
        <v>65</v>
      </c>
      <c r="B73" s="144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74"/>
    </row>
    <row r="74" ht="12.9" customHeight="1">
      <c r="A74" s="143">
        <v>66</v>
      </c>
      <c r="B74" s="144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74"/>
    </row>
    <row r="75" ht="12.9" customHeight="1">
      <c r="A75" s="143">
        <v>67</v>
      </c>
      <c r="B75" s="144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74"/>
    </row>
    <row r="76" ht="12.9" customHeight="1">
      <c r="A76" s="143">
        <v>68</v>
      </c>
      <c r="B76" s="144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74"/>
    </row>
    <row r="77" ht="12.9" customHeight="1">
      <c r="A77" s="143">
        <v>69</v>
      </c>
      <c r="B77" s="144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74"/>
    </row>
    <row r="78" ht="12.9" customHeight="1">
      <c r="A78" s="145">
        <v>70</v>
      </c>
      <c r="B78" s="146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  <c r="AG78" s="147"/>
      <c r="AH78" s="147"/>
      <c r="AI78" s="147"/>
      <c r="AJ78" s="147"/>
      <c r="AK78" s="147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8"/>
    </row>
  </sheetData>
  <mergeCells count="1">
    <mergeCell ref="A1:AY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H10"/>
  <sheetViews>
    <sheetView workbookViewId="0" showGridLines="0" defaultGridColor="1"/>
  </sheetViews>
  <sheetFormatPr defaultColWidth="8.83333" defaultRowHeight="15" customHeight="1" outlineLevelRow="0" outlineLevelCol="0"/>
  <cols>
    <col min="1" max="1" width="9.85156" style="149" customWidth="1"/>
    <col min="2" max="2" width="47.1719" style="149" customWidth="1"/>
    <col min="3" max="8" width="8.85156" style="149" customWidth="1"/>
    <col min="9" max="16384" width="8.85156" style="149" customWidth="1"/>
  </cols>
  <sheetData>
    <row r="1" ht="15" customHeight="1">
      <c r="A1" s="150">
        <v>16</v>
      </c>
      <c r="B1" t="s" s="151">
        <v>19</v>
      </c>
      <c r="C1" s="152">
        <v>1</v>
      </c>
      <c r="D1" s="153">
        <v>4245</v>
      </c>
      <c r="E1" s="153">
        <f>C1*D1</f>
        <v>4245</v>
      </c>
      <c r="F1" s="154"/>
      <c r="G1" s="155"/>
      <c r="H1" s="156">
        <f>SUM(E1:E10)/5*6</f>
        <v>15006</v>
      </c>
    </row>
    <row r="2" ht="15" customHeight="1">
      <c r="A2" s="157">
        <v>8</v>
      </c>
      <c r="B2" t="s" s="158">
        <v>11</v>
      </c>
      <c r="C2" s="159">
        <v>1</v>
      </c>
      <c r="D2" s="160">
        <v>1295</v>
      </c>
      <c r="E2" s="160">
        <f>C2*D2</f>
        <v>1295</v>
      </c>
      <c r="F2" s="154"/>
      <c r="G2" s="155"/>
      <c r="H2" s="155"/>
    </row>
    <row r="3" ht="15" customHeight="1">
      <c r="A3" s="157">
        <v>3</v>
      </c>
      <c r="B3" t="s" s="158">
        <v>6</v>
      </c>
      <c r="C3" s="159">
        <v>7</v>
      </c>
      <c r="D3" s="159">
        <v>995</v>
      </c>
      <c r="E3" s="159">
        <f>C3*D3</f>
        <v>6965</v>
      </c>
      <c r="F3" s="154"/>
      <c r="G3" s="155"/>
      <c r="H3" s="155"/>
    </row>
    <row r="4" ht="13.55" customHeight="1">
      <c r="A4" s="161"/>
      <c r="B4" s="161"/>
      <c r="C4" s="161"/>
      <c r="D4" s="161"/>
      <c r="E4" s="161"/>
      <c r="F4" s="155"/>
      <c r="G4" s="155"/>
      <c r="H4" s="155"/>
    </row>
    <row r="5" ht="13.55" customHeight="1">
      <c r="A5" s="155"/>
      <c r="B5" s="155"/>
      <c r="C5" s="155"/>
      <c r="D5" s="155"/>
      <c r="E5" s="155"/>
      <c r="F5" s="155"/>
      <c r="G5" s="155"/>
      <c r="H5" s="155"/>
    </row>
    <row r="6" ht="13.55" customHeight="1">
      <c r="A6" s="155"/>
      <c r="B6" s="155"/>
      <c r="C6" s="155"/>
      <c r="D6" s="155"/>
      <c r="E6" s="155"/>
      <c r="F6" s="155"/>
      <c r="G6" s="155"/>
      <c r="H6" s="155"/>
    </row>
    <row r="7" ht="13.55" customHeight="1">
      <c r="A7" s="155"/>
      <c r="B7" s="155"/>
      <c r="C7" s="155"/>
      <c r="D7" s="155"/>
      <c r="E7" s="155"/>
      <c r="F7" s="155"/>
      <c r="G7" s="155"/>
      <c r="H7" s="155"/>
    </row>
    <row r="8" ht="13.55" customHeight="1">
      <c r="A8" s="155"/>
      <c r="B8" s="155"/>
      <c r="C8" s="155"/>
      <c r="D8" s="155"/>
      <c r="E8" s="155"/>
      <c r="F8" s="155"/>
      <c r="G8" s="155"/>
      <c r="H8" s="155"/>
    </row>
    <row r="9" ht="13.55" customHeight="1">
      <c r="A9" s="155"/>
      <c r="B9" s="155"/>
      <c r="C9" s="155"/>
      <c r="D9" s="155"/>
      <c r="E9" s="155"/>
      <c r="F9" s="155"/>
      <c r="G9" s="155"/>
      <c r="H9" s="155"/>
    </row>
    <row r="10" ht="13.55" customHeight="1">
      <c r="A10" s="155"/>
      <c r="B10" s="155"/>
      <c r="C10" s="155"/>
      <c r="D10" s="155"/>
      <c r="E10" s="155"/>
      <c r="F10" s="155"/>
      <c r="G10" s="155"/>
      <c r="H10" s="155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