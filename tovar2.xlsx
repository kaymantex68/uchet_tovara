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/>
  <mc:AlternateContent xmlns:mc="http://schemas.openxmlformats.org/markup-compatibility/2006">
    <mc:Choice Requires="x15">
      <x15ac:absPath xmlns:x15ac="http://schemas.microsoft.com/office/spreadsheetml/2010/11/ac" url="C:\Users\Brandon\Desktop\sklad\"/>
    </mc:Choice>
  </mc:AlternateContent>
  <bookViews>
    <workbookView xWindow="-60" yWindow="-60" windowWidth="28920" windowHeight="15660"/>
  </bookViews>
  <sheets>
    <sheet name="Приход" sheetId="1" r:id="rId1"/>
    <sheet name="Расчеты" sheetId="2" r:id="rId2"/>
    <sheet name="Лист2" sheetId="3" r:id="rId3"/>
  </sheet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73" i="1" l="1"/>
  <c r="E75" i="1"/>
  <c r="E74" i="1"/>
  <c r="G63" i="1"/>
  <c r="E65" i="1"/>
  <c r="E66" i="1"/>
  <c r="E67" i="1"/>
  <c r="E68" i="1"/>
  <c r="E69" i="1"/>
  <c r="E70" i="1"/>
  <c r="E71" i="1"/>
  <c r="E72" i="1"/>
  <c r="E64" i="1"/>
  <c r="E11" i="3"/>
  <c r="E10" i="3"/>
  <c r="E8" i="3"/>
  <c r="E6" i="3"/>
  <c r="E4" i="3" l="1"/>
  <c r="E3" i="3"/>
  <c r="E2" i="3"/>
  <c r="H2" i="3" s="1"/>
  <c r="J66" i="2"/>
  <c r="E66" i="2"/>
  <c r="F66" i="2" s="1"/>
  <c r="D66" i="2"/>
  <c r="I66" i="2" s="1"/>
  <c r="E65" i="2"/>
  <c r="F65" i="2" s="1"/>
  <c r="D65" i="2"/>
  <c r="G65" i="2" s="1"/>
  <c r="H65" i="2" s="1"/>
  <c r="E64" i="2"/>
  <c r="F64" i="2" s="1"/>
  <c r="D64" i="2"/>
  <c r="G64" i="2" s="1"/>
  <c r="H64" i="2" s="1"/>
  <c r="E63" i="2"/>
  <c r="F63" i="2" s="1"/>
  <c r="D63" i="2"/>
  <c r="I63" i="2" s="1"/>
  <c r="J62" i="2"/>
  <c r="E62" i="2"/>
  <c r="F62" i="2" s="1"/>
  <c r="D62" i="2"/>
  <c r="I62" i="2" s="1"/>
  <c r="I61" i="2"/>
  <c r="E61" i="2"/>
  <c r="F61" i="2" s="1"/>
  <c r="D61" i="2"/>
  <c r="J61" i="2" s="1"/>
  <c r="E60" i="2"/>
  <c r="F60" i="2" s="1"/>
  <c r="D60" i="2"/>
  <c r="G60" i="2" s="1"/>
  <c r="H60" i="2" s="1"/>
  <c r="G59" i="2"/>
  <c r="H59" i="2" s="1"/>
  <c r="E59" i="2"/>
  <c r="F59" i="2" s="1"/>
  <c r="D59" i="2"/>
  <c r="J59" i="2" s="1"/>
  <c r="E58" i="2"/>
  <c r="F58" i="2" s="1"/>
  <c r="D58" i="2"/>
  <c r="I58" i="2" s="1"/>
  <c r="I57" i="2"/>
  <c r="E57" i="2"/>
  <c r="F57" i="2" s="1"/>
  <c r="D57" i="2"/>
  <c r="J57" i="2" s="1"/>
  <c r="E56" i="2"/>
  <c r="F56" i="2" s="1"/>
  <c r="D56" i="2"/>
  <c r="G56" i="2" s="1"/>
  <c r="H56" i="2" s="1"/>
  <c r="I55" i="2"/>
  <c r="G55" i="2"/>
  <c r="H55" i="2" s="1"/>
  <c r="E55" i="2"/>
  <c r="F55" i="2" s="1"/>
  <c r="D55" i="2"/>
  <c r="J55" i="2" s="1"/>
  <c r="J54" i="2"/>
  <c r="E54" i="2"/>
  <c r="F54" i="2" s="1"/>
  <c r="D54" i="2"/>
  <c r="I54" i="2" s="1"/>
  <c r="G53" i="2"/>
  <c r="H53" i="2" s="1"/>
  <c r="E53" i="2"/>
  <c r="F53" i="2" s="1"/>
  <c r="D53" i="2"/>
  <c r="J53" i="2" s="1"/>
  <c r="E52" i="2"/>
  <c r="F52" i="2" s="1"/>
  <c r="D52" i="2"/>
  <c r="E51" i="2"/>
  <c r="F51" i="2" s="1"/>
  <c r="D51" i="2"/>
  <c r="J51" i="2" s="1"/>
  <c r="E50" i="2"/>
  <c r="F50" i="2" s="1"/>
  <c r="D50" i="2"/>
  <c r="I50" i="2" s="1"/>
  <c r="I49" i="2"/>
  <c r="E49" i="2"/>
  <c r="F49" i="2" s="1"/>
  <c r="D49" i="2"/>
  <c r="J49" i="2" s="1"/>
  <c r="E48" i="2"/>
  <c r="F48" i="2" s="1"/>
  <c r="D48" i="2"/>
  <c r="I47" i="2"/>
  <c r="G47" i="2"/>
  <c r="H47" i="2" s="1"/>
  <c r="E47" i="2"/>
  <c r="F47" i="2" s="1"/>
  <c r="D47" i="2"/>
  <c r="J47" i="2" s="1"/>
  <c r="E46" i="2"/>
  <c r="F46" i="2" s="1"/>
  <c r="D46" i="2"/>
  <c r="I46" i="2" s="1"/>
  <c r="E45" i="2"/>
  <c r="F45" i="2" s="1"/>
  <c r="D45" i="2"/>
  <c r="J45" i="2" s="1"/>
  <c r="G44" i="2"/>
  <c r="E44" i="2"/>
  <c r="F44" i="2" s="1"/>
  <c r="J43" i="2"/>
  <c r="L42" i="2" s="1"/>
  <c r="E43" i="2"/>
  <c r="F43" i="2" s="1"/>
  <c r="D43" i="2"/>
  <c r="I43" i="2" s="1"/>
  <c r="N42" i="2" s="1"/>
  <c r="G42" i="2"/>
  <c r="E42" i="2"/>
  <c r="F42" i="2" s="1"/>
  <c r="I41" i="2"/>
  <c r="E41" i="2"/>
  <c r="F41" i="2" s="1"/>
  <c r="D41" i="2"/>
  <c r="J41" i="2" s="1"/>
  <c r="J40" i="2"/>
  <c r="E40" i="2"/>
  <c r="F40" i="2" s="1"/>
  <c r="D40" i="2"/>
  <c r="I40" i="2" s="1"/>
  <c r="G39" i="2"/>
  <c r="H39" i="2" s="1"/>
  <c r="E39" i="2"/>
  <c r="F39" i="2" s="1"/>
  <c r="D39" i="2"/>
  <c r="J39" i="2" s="1"/>
  <c r="E38" i="2"/>
  <c r="F38" i="2" s="1"/>
  <c r="D38" i="2"/>
  <c r="E37" i="2"/>
  <c r="F37" i="2" s="1"/>
  <c r="D37" i="2"/>
  <c r="J37" i="2" s="1"/>
  <c r="E36" i="2"/>
  <c r="F36" i="2" s="1"/>
  <c r="D36" i="2"/>
  <c r="I36" i="2" s="1"/>
  <c r="I35" i="2"/>
  <c r="E35" i="2"/>
  <c r="F35" i="2" s="1"/>
  <c r="D35" i="2"/>
  <c r="J35" i="2" s="1"/>
  <c r="E34" i="2"/>
  <c r="F34" i="2" s="1"/>
  <c r="D34" i="2"/>
  <c r="I33" i="2"/>
  <c r="G33" i="2"/>
  <c r="H33" i="2" s="1"/>
  <c r="E33" i="2"/>
  <c r="F33" i="2" s="1"/>
  <c r="D33" i="2"/>
  <c r="J33" i="2" s="1"/>
  <c r="E32" i="2"/>
  <c r="F32" i="2" s="1"/>
  <c r="D32" i="2"/>
  <c r="I32" i="2" s="1"/>
  <c r="E31" i="2"/>
  <c r="F31" i="2" s="1"/>
  <c r="D31" i="2"/>
  <c r="J31" i="2" s="1"/>
  <c r="E30" i="2"/>
  <c r="F30" i="2" s="1"/>
  <c r="D30" i="2"/>
  <c r="G29" i="2"/>
  <c r="H29" i="2" s="1"/>
  <c r="E29" i="2"/>
  <c r="F29" i="2" s="1"/>
  <c r="D29" i="2"/>
  <c r="J29" i="2" s="1"/>
  <c r="J28" i="2"/>
  <c r="E28" i="2"/>
  <c r="F28" i="2" s="1"/>
  <c r="D28" i="2"/>
  <c r="I28" i="2" s="1"/>
  <c r="I27" i="2"/>
  <c r="G27" i="2"/>
  <c r="H27" i="2" s="1"/>
  <c r="E27" i="2"/>
  <c r="F27" i="2" s="1"/>
  <c r="D27" i="2"/>
  <c r="J27" i="2" s="1"/>
  <c r="F26" i="2"/>
  <c r="E26" i="2"/>
  <c r="D26" i="2"/>
  <c r="E25" i="2"/>
  <c r="F25" i="2" s="1"/>
  <c r="D25" i="2"/>
  <c r="J25" i="2" s="1"/>
  <c r="F24" i="2"/>
  <c r="E24" i="2"/>
  <c r="D24" i="2"/>
  <c r="I24" i="2" s="1"/>
  <c r="G23" i="2"/>
  <c r="E23" i="2"/>
  <c r="F23" i="2" s="1"/>
  <c r="G22" i="2"/>
  <c r="H22" i="2" s="1"/>
  <c r="E22" i="2"/>
  <c r="F22" i="2" s="1"/>
  <c r="D22" i="2"/>
  <c r="J22" i="2" s="1"/>
  <c r="J21" i="2"/>
  <c r="E21" i="2"/>
  <c r="F21" i="2" s="1"/>
  <c r="D21" i="2"/>
  <c r="I21" i="2" s="1"/>
  <c r="I20" i="2"/>
  <c r="G20" i="2"/>
  <c r="H20" i="2" s="1"/>
  <c r="E20" i="2"/>
  <c r="F20" i="2" s="1"/>
  <c r="D20" i="2"/>
  <c r="J20" i="2" s="1"/>
  <c r="E19" i="2"/>
  <c r="F19" i="2" s="1"/>
  <c r="D19" i="2"/>
  <c r="I18" i="2"/>
  <c r="E18" i="2"/>
  <c r="F18" i="2" s="1"/>
  <c r="D18" i="2"/>
  <c r="J18" i="2" s="1"/>
  <c r="J17" i="2"/>
  <c r="E17" i="2"/>
  <c r="F17" i="2" s="1"/>
  <c r="D17" i="2"/>
  <c r="I17" i="2" s="1"/>
  <c r="G16" i="2"/>
  <c r="H16" i="2" s="1"/>
  <c r="E16" i="2"/>
  <c r="F16" i="2" s="1"/>
  <c r="D16" i="2"/>
  <c r="J16" i="2" s="1"/>
  <c r="E15" i="2"/>
  <c r="F15" i="2" s="1"/>
  <c r="D15" i="2"/>
  <c r="E14" i="2"/>
  <c r="F14" i="2" s="1"/>
  <c r="D14" i="2"/>
  <c r="J14" i="2" s="1"/>
  <c r="F13" i="2"/>
  <c r="E13" i="2"/>
  <c r="D13" i="2"/>
  <c r="I13" i="2" s="1"/>
  <c r="E12" i="2"/>
  <c r="F12" i="2" s="1"/>
  <c r="D12" i="2"/>
  <c r="J12" i="2" s="1"/>
  <c r="E11" i="2"/>
  <c r="F11" i="2" s="1"/>
  <c r="D11" i="2"/>
  <c r="J11" i="2" s="1"/>
  <c r="E10" i="2"/>
  <c r="F10" i="2" s="1"/>
  <c r="D10" i="2"/>
  <c r="J10" i="2" s="1"/>
  <c r="E9" i="2"/>
  <c r="F9" i="2" s="1"/>
  <c r="D9" i="2"/>
  <c r="E8" i="2"/>
  <c r="F8" i="2" s="1"/>
  <c r="D8" i="2"/>
  <c r="E7" i="2"/>
  <c r="F7" i="2" s="1"/>
  <c r="D7" i="2"/>
  <c r="J7" i="2" s="1"/>
  <c r="E6" i="2"/>
  <c r="F6" i="2" s="1"/>
  <c r="D6" i="2"/>
  <c r="J6" i="2" s="1"/>
  <c r="E62" i="1"/>
  <c r="E61" i="1"/>
  <c r="E60" i="1"/>
  <c r="E59" i="1"/>
  <c r="E58" i="1"/>
  <c r="E57" i="1"/>
  <c r="E56" i="1"/>
  <c r="E55" i="1"/>
  <c r="E54" i="1"/>
  <c r="E53" i="1"/>
  <c r="E52" i="1"/>
  <c r="E51" i="1"/>
  <c r="E50" i="1"/>
  <c r="E49" i="1"/>
  <c r="E48" i="1"/>
  <c r="E47" i="1"/>
  <c r="E46" i="1"/>
  <c r="E45" i="1"/>
  <c r="E44" i="1"/>
  <c r="E43" i="1"/>
  <c r="E42" i="1"/>
  <c r="E41" i="1"/>
  <c r="G40" i="1" s="1"/>
  <c r="E39" i="1"/>
  <c r="G38" i="1" s="1"/>
  <c r="E37" i="1"/>
  <c r="E36" i="1"/>
  <c r="E35" i="1"/>
  <c r="E34" i="1"/>
  <c r="E33" i="1"/>
  <c r="E32" i="1"/>
  <c r="E31" i="1"/>
  <c r="E30" i="1"/>
  <c r="E29" i="1"/>
  <c r="E28" i="1"/>
  <c r="E27" i="1"/>
  <c r="E26" i="1"/>
  <c r="E25" i="1"/>
  <c r="E24" i="1"/>
  <c r="E23" i="1"/>
  <c r="E22" i="1"/>
  <c r="E21" i="1"/>
  <c r="G19" i="1" s="1"/>
  <c r="E20" i="1"/>
  <c r="E18" i="1"/>
  <c r="E17" i="1"/>
  <c r="E16" i="1"/>
  <c r="E15" i="1"/>
  <c r="E14" i="1"/>
  <c r="E13" i="1"/>
  <c r="E12" i="1"/>
  <c r="E11" i="1"/>
  <c r="E10" i="1"/>
  <c r="E9" i="1"/>
  <c r="E8" i="1"/>
  <c r="E7" i="1"/>
  <c r="E6" i="1"/>
  <c r="E5" i="1"/>
  <c r="E4" i="1"/>
  <c r="E3" i="1"/>
  <c r="E2" i="1"/>
  <c r="G1" i="1" s="1"/>
  <c r="J1" i="1" s="1"/>
  <c r="J63" i="2" l="1"/>
  <c r="I16" i="2"/>
  <c r="I22" i="2"/>
  <c r="I29" i="2"/>
  <c r="I39" i="2"/>
  <c r="I53" i="2"/>
  <c r="G57" i="2"/>
  <c r="H57" i="2" s="1"/>
  <c r="J58" i="2"/>
  <c r="I59" i="2"/>
  <c r="I65" i="2"/>
  <c r="G6" i="2"/>
  <c r="H6" i="2" s="1"/>
  <c r="G7" i="2"/>
  <c r="H7" i="2" s="1"/>
  <c r="G10" i="2"/>
  <c r="H10" i="2" s="1"/>
  <c r="G11" i="2"/>
  <c r="H11" i="2" s="1"/>
  <c r="G12" i="2"/>
  <c r="H12" i="2" s="1"/>
  <c r="G14" i="2"/>
  <c r="H14" i="2" s="1"/>
  <c r="G25" i="2"/>
  <c r="H25" i="2" s="1"/>
  <c r="G31" i="2"/>
  <c r="H31" i="2" s="1"/>
  <c r="J32" i="2"/>
  <c r="G37" i="2"/>
  <c r="H37" i="2" s="1"/>
  <c r="G45" i="2"/>
  <c r="H45" i="2" s="1"/>
  <c r="J46" i="2"/>
  <c r="G51" i="2"/>
  <c r="H51" i="2" s="1"/>
  <c r="G63" i="2"/>
  <c r="H63" i="2" s="1"/>
  <c r="I6" i="2"/>
  <c r="I7" i="2"/>
  <c r="I10" i="2"/>
  <c r="I11" i="2"/>
  <c r="I12" i="2"/>
  <c r="J13" i="2"/>
  <c r="I14" i="2"/>
  <c r="G18" i="2"/>
  <c r="H18" i="2" s="1"/>
  <c r="J24" i="2"/>
  <c r="I25" i="2"/>
  <c r="I31" i="2"/>
  <c r="G35" i="2"/>
  <c r="H35" i="2" s="1"/>
  <c r="J36" i="2"/>
  <c r="I37" i="2"/>
  <c r="G41" i="2"/>
  <c r="H41" i="2" s="1"/>
  <c r="I45" i="2"/>
  <c r="G49" i="2"/>
  <c r="H49" i="2" s="1"/>
  <c r="J50" i="2"/>
  <c r="I51" i="2"/>
  <c r="G61" i="2"/>
  <c r="H61" i="2" s="1"/>
  <c r="G26" i="2"/>
  <c r="H26" i="2" s="1"/>
  <c r="J26" i="2"/>
  <c r="L23" i="2" s="1"/>
  <c r="I26" i="2"/>
  <c r="G30" i="2"/>
  <c r="H30" i="2" s="1"/>
  <c r="J30" i="2"/>
  <c r="I30" i="2"/>
  <c r="G34" i="2"/>
  <c r="H34" i="2" s="1"/>
  <c r="J34" i="2"/>
  <c r="I34" i="2"/>
  <c r="G38" i="2"/>
  <c r="H38" i="2" s="1"/>
  <c r="J38" i="2"/>
  <c r="I38" i="2"/>
  <c r="G48" i="2"/>
  <c r="H48" i="2" s="1"/>
  <c r="J48" i="2"/>
  <c r="I48" i="2"/>
  <c r="G8" i="2"/>
  <c r="H8" i="2" s="1"/>
  <c r="J8" i="2"/>
  <c r="I8" i="2"/>
  <c r="G9" i="2"/>
  <c r="H9" i="2" s="1"/>
  <c r="J9" i="2"/>
  <c r="I9" i="2"/>
  <c r="G15" i="2"/>
  <c r="H15" i="2" s="1"/>
  <c r="J15" i="2"/>
  <c r="I15" i="2"/>
  <c r="G19" i="2"/>
  <c r="H19" i="2" s="1"/>
  <c r="J19" i="2"/>
  <c r="I19" i="2"/>
  <c r="G52" i="2"/>
  <c r="H52" i="2" s="1"/>
  <c r="J52" i="2"/>
  <c r="I52" i="2"/>
  <c r="J3" i="1"/>
  <c r="T5" i="2"/>
  <c r="T10" i="2"/>
  <c r="G13" i="2"/>
  <c r="H13" i="2" s="1"/>
  <c r="G17" i="2"/>
  <c r="H17" i="2" s="1"/>
  <c r="G21" i="2"/>
  <c r="H21" i="2" s="1"/>
  <c r="G24" i="2"/>
  <c r="H24" i="2" s="1"/>
  <c r="G28" i="2"/>
  <c r="H28" i="2" s="1"/>
  <c r="G32" i="2"/>
  <c r="H32" i="2" s="1"/>
  <c r="G36" i="2"/>
  <c r="H36" i="2" s="1"/>
  <c r="G40" i="2"/>
  <c r="H40" i="2" s="1"/>
  <c r="G43" i="2"/>
  <c r="H43" i="2" s="1"/>
  <c r="P42" i="2" s="1"/>
  <c r="G46" i="2"/>
  <c r="H46" i="2" s="1"/>
  <c r="G50" i="2"/>
  <c r="H50" i="2" s="1"/>
  <c r="G54" i="2"/>
  <c r="H54" i="2" s="1"/>
  <c r="I56" i="2"/>
  <c r="N44" i="2" s="1"/>
  <c r="G58" i="2"/>
  <c r="H58" i="2" s="1"/>
  <c r="I60" i="2"/>
  <c r="G62" i="2"/>
  <c r="H62" i="2" s="1"/>
  <c r="I64" i="2"/>
  <c r="J65" i="2"/>
  <c r="G66" i="2"/>
  <c r="H66" i="2" s="1"/>
  <c r="J56" i="2"/>
  <c r="J60" i="2"/>
  <c r="J64" i="2"/>
  <c r="L44" i="2" l="1"/>
  <c r="N5" i="2"/>
  <c r="L5" i="2"/>
  <c r="P44" i="2"/>
  <c r="P5" i="2"/>
  <c r="P23" i="2"/>
  <c r="R5" i="2"/>
  <c r="R7" i="2" s="1"/>
  <c r="N23" i="2"/>
  <c r="T6" i="2" s="1"/>
  <c r="T7" i="2" l="1"/>
  <c r="T8" i="2" s="1"/>
  <c r="T11" i="2" l="1"/>
</calcChain>
</file>

<file path=xl/sharedStrings.xml><?xml version="1.0" encoding="utf-8"?>
<sst xmlns="http://schemas.openxmlformats.org/spreadsheetml/2006/main" count="185" uniqueCount="101">
  <si>
    <t>сумма:</t>
  </si>
  <si>
    <t>сумма закупки:</t>
  </si>
  <si>
    <t>EZ-HAC-B2A41P-0280B-DIP Видеокамера HDCVI купольная, 1/2.7" 4Мп</t>
  </si>
  <si>
    <t>взято на закупку:</t>
  </si>
  <si>
    <t>EZ-HAC-B6B20P-LED-0360B Видеокамера HDCVI цилиндрическая, 1/2.8" 2Мп</t>
  </si>
  <si>
    <t>остаток:</t>
  </si>
  <si>
    <t>EZ-HAC-D1A21P-0280B 2Мп HD-CVI камера видеонаблюдения</t>
  </si>
  <si>
    <t>EZ-HAC-D1A41P-0280B 4Мп HDCVI видеокамера</t>
  </si>
  <si>
    <t>EZ-HAC-D1A41P-0360B 4Мп HDCVI видеокамера</t>
  </si>
  <si>
    <t>EZ-HAC-T2A11P-0280B Видеокамера HDCVI купольная, 1/2.7" 1Мп</t>
  </si>
  <si>
    <t>EZ-HAC-T2A21P-0280B 2Мп Видеокамера HDCVI купольная</t>
  </si>
  <si>
    <t>EZ-HAC-T5B20P-A-0280B Видеокамера HDCVI купольная, 1/2.7" 2Мп</t>
  </si>
  <si>
    <t>EZ-HAC-T6B20P-LED-0280B Видеокамера HDCVI купольная, 2Мп</t>
  </si>
  <si>
    <t>EZ-IPC-B1B20P-0360B IP-видеокамера</t>
  </si>
  <si>
    <t>EZ-NVR1B04 4-канальный сетевой видеорегистратор</t>
  </si>
  <si>
    <t>EZ-NVR1B04HC/E Видеорегистратор наблюдения Dahua</t>
  </si>
  <si>
    <t>EZ-NVR1B08HS Видеорегистратор наблюдения</t>
  </si>
  <si>
    <t>EZ-NVR2B16 IP видеорегистратор Dahua</t>
  </si>
  <si>
    <t>EZ-XVR1B04H Гибридный регистратор</t>
  </si>
  <si>
    <t>EZ-XVR1B08H Гибридный регистратор</t>
  </si>
  <si>
    <t>EZ-XVR1B16H Гибридный регистратор</t>
  </si>
  <si>
    <t>IP-видеокамера купольная антивандальная DH-IPC-HDBW1431EP-S-0360B</t>
  </si>
  <si>
    <t>DH-IPC-HDBW4231FP-AS-0280B 2Мп IP видеокамера</t>
  </si>
  <si>
    <t>Миниатюрная IP видеокамера DH-IPC-K35AP 3MP c POE</t>
  </si>
  <si>
    <t>IP-видеокамера DH-IPC-K35P для системы видеонаблюдения</t>
  </si>
  <si>
    <t>Уличная поворотная купольная HDCVI видеокамера  DH-SD22204I-GC для систем видеонаблюдения</t>
  </si>
  <si>
    <t>DHI-VTH1550CH Монитор IP домофона DAHUA цветной сенсорный</t>
  </si>
  <si>
    <t>DHI-ASI1201A-D контролер</t>
  </si>
  <si>
    <t>DH-ASR1101A-D RFID считыватель</t>
  </si>
  <si>
    <t>IP видеорегистратор DHI-NVR2104-4KS2</t>
  </si>
  <si>
    <t>IP видеорегистратор DHI-NVR2104-W-4KS2</t>
  </si>
  <si>
    <t>IP видеорегистратор DHI-NVR2108-4KS2</t>
  </si>
  <si>
    <t>16-канальный 4K сетевой видеорегистратор Dahua DH-NVR4216-4KS2</t>
  </si>
  <si>
    <t>DHI-VTH2201DW Аудиодомофон DAHUA</t>
  </si>
  <si>
    <t>DH-IPC-B2B20-ZS IP видеокамера Dahua</t>
  </si>
  <si>
    <t>DH-IPC-D2B20-ZS IP видеокамера Dahua</t>
  </si>
  <si>
    <t>IP видеокамера купольная DH-IPC-HDW2230TP-AS-0280B</t>
  </si>
  <si>
    <t>DH-IPC-HFW2230SP-S-0280B Видеокамера IP Уличная цилиндрическая 2Mп</t>
  </si>
  <si>
    <t>Видеокамера IP Уличная цилиндрическая 2Mп DH-IPC-HFW2230SP-S-0360B</t>
  </si>
  <si>
    <t xml:space="preserve">Замки </t>
  </si>
  <si>
    <t xml:space="preserve">HiWatch DS-N332/2(B) 32-х канальный IP-регистратор                                                </t>
  </si>
  <si>
    <t>HiWatch DS-I250 (2.8 mm) 2Мп уличная цилиндрическая IP-камера</t>
  </si>
  <si>
    <t>HiWatch IPC-B020 (2.8mm) 2Мп уличная цилиндрическая IP-камера</t>
  </si>
  <si>
    <t>HiWatch IPC-T020 (2.8mm) 2Мп уличная купольная IP-камера</t>
  </si>
  <si>
    <t xml:space="preserve">HiWatch DS-S908P(B) Сетевой неуправляемый коммутатор                                              </t>
  </si>
  <si>
    <t>HiWatch DS-S604P Сетевой неуправляемый коммутатор</t>
  </si>
  <si>
    <t>HiWatch DS-D100MF 7" цветной TFT монитор 800х480 c памятью до 200 снимков</t>
  </si>
  <si>
    <t>HiWatch DS-D100KF Комплект аналогового видеодомофона c памятью до 200 снимков</t>
  </si>
  <si>
    <t>HiWatch DS-I200 (C) (2.8 mm) 2Мп уличная цилиндрическая IP-камера с EXIR-подсветкой</t>
  </si>
  <si>
    <t>HiWatch DS-I200 (C) (4 mm) 2Мп уличная цилиндрическая IP-камера с EXIR-подсветкой</t>
  </si>
  <si>
    <t>HiWatch DS-I250 (4 mm) 2Мп уличная цилиндрическая IP-камера</t>
  </si>
  <si>
    <t xml:space="preserve">HiWatch DS-I252 (6 mm) 2Мп уличная купольная IP-камера </t>
  </si>
  <si>
    <t>HiWatch DS-I202 (C) (2.8 mm) 2Мп уличная купольная мини IP-камера</t>
  </si>
  <si>
    <t xml:space="preserve">HiWatch DS-I203 (C) (2.8 mm) 2Мп уличная IP-камера с EXIR-подсветкой </t>
  </si>
  <si>
    <t>HiWatch DS-I253M (4 mm) 2Мп уличная IP-камера с EXIR-подсветкой</t>
  </si>
  <si>
    <t>HiWatch DS-I400(B) (2.8 mm) 4Мп уличная цилиндрическая IP-камера</t>
  </si>
  <si>
    <t>HiWatch DS-I450 (2.8 mm) 4Мп уличная цилиндрическая IP-камера с EXIR-подсветкой до 30м</t>
  </si>
  <si>
    <t>HiWatch DS-I450 (4 mm) 4Мп уличная цилиндрическая IP-камера с EXIR-подсветкой до 30м</t>
  </si>
  <si>
    <t>HiWatch DS-I453 (2.8 mm) 4Мп уличная купольная мини IP-камера с EXIR-подсветкой до 30м</t>
  </si>
  <si>
    <t>HiWatch DS-N204(B) 4-х канальный IP-регистратор</t>
  </si>
  <si>
    <t>HiWatch DS-N316(B) 16-ти канальный IP-регистратор</t>
  </si>
  <si>
    <t>HiWatch DS-N208(B) 8-ми канальный IP-регистратор</t>
  </si>
  <si>
    <t>Tаблица 1</t>
  </si>
  <si>
    <t>Розница</t>
  </si>
  <si>
    <t>Приращение</t>
  </si>
  <si>
    <t>Сумма приращение</t>
  </si>
  <si>
    <t xml:space="preserve">Средняя скидка </t>
  </si>
  <si>
    <t xml:space="preserve">Сумма со скидкой </t>
  </si>
  <si>
    <t>Возврат на склад</t>
  </si>
  <si>
    <t>Возврат на склад:</t>
  </si>
  <si>
    <t>С 25% скидки</t>
  </si>
  <si>
    <t>Сумма по рознице:</t>
  </si>
  <si>
    <t>Сумма закупки</t>
  </si>
  <si>
    <t>Сумма возврата на склад:</t>
  </si>
  <si>
    <t>Сумма продаж со средней скидкой</t>
  </si>
  <si>
    <t>Разница на фирме</t>
  </si>
  <si>
    <t>Разница на фирме через приращение</t>
  </si>
  <si>
    <t>Процент приращения</t>
  </si>
  <si>
    <t>Антон желев</t>
  </si>
  <si>
    <t>Коля Алеев</t>
  </si>
  <si>
    <t>Балашов</t>
  </si>
  <si>
    <t>Хабаров Андрей</t>
  </si>
  <si>
    <t>AH-NVR7104 IP видеорегистратор 4-х канальный</t>
  </si>
  <si>
    <t>ANH-B12-4-Pro 2Мп уличная цилиндрическая  IP-камера с подсветкой до 30м</t>
  </si>
  <si>
    <t>ANH-D12-4-Pro 2Мп уличная купольная  IP-камера с подсветкой до 30м</t>
  </si>
  <si>
    <t>Видеокамера HDCVI Купольная DH-HAC-HDW1230MP-0280B</t>
  </si>
  <si>
    <t>DH-HAC-HDW1239TLP-LED-0280B 2Mп HDCVI видеокамера с поддержкой полноцветного видео и функцией ночного видения Starlight</t>
  </si>
  <si>
    <t>DH-HAC-HDW1400RP-0280B Dahua Видеокамера купольная</t>
  </si>
  <si>
    <t>Видеокамера HDCVI уличная DH-HAC-HFW1400RP-0280B</t>
  </si>
  <si>
    <t>DH-XVR4104C-X1 Видеорегистратор Dahua</t>
  </si>
  <si>
    <t>DH-XVR5104C-X1 Видеорегистратор Dahua</t>
  </si>
  <si>
    <t xml:space="preserve">DS-I200 (2,8) </t>
  </si>
  <si>
    <t>DS-I203 (2,8</t>
  </si>
  <si>
    <t>HiWatch DS-N204(B) 4х канальный ip регистратор</t>
  </si>
  <si>
    <t>HiWatch DS-N316(B) 16ти канальный регистратор</t>
  </si>
  <si>
    <t>HiWatch DS-N208(B) 8ми канальный ip регистратор</t>
  </si>
  <si>
    <t>AccordTec ML-180k(Серый) Замок электромагнитный (с уголком)</t>
  </si>
  <si>
    <t>AccordTec ББП-80 (исп 1) блок бесперебойного питания</t>
  </si>
  <si>
    <t>HiWatch DS-I203 C (4mm) 2мп уличная ip камера с exir подстветкой</t>
  </si>
  <si>
    <t>HiWatch DVR-104P-G 4х канальный гибридный регистратор</t>
  </si>
  <si>
    <t>HiWatch DVR-108-G/N 8 канальный гибридный регистратор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</si>
</sst>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1"/>
      <color indexed="8"/>
      <name val="Calibri"/>
    </font>
    <font>
      <sz val="14"/>
      <color indexed="8"/>
      <name val="Calibri"/>
      <family val="2"/>
      <charset val="204"/>
    </font>
    <font>
      <sz val="10"/>
      <color indexed="8"/>
      <name val="Tahoma"/>
      <family val="2"/>
      <charset val="204"/>
    </font>
    <font>
      <sz val="11"/>
      <color indexed="8"/>
      <name val="Calibri"/>
      <family val="2"/>
      <charset val="204"/>
    </font>
    <font>
      <sz val="8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1"/>
        <bgColor auto="1"/>
      </patternFill>
    </fill>
    <fill>
      <patternFill patternType="solid">
        <fgColor indexed="12"/>
        <bgColor auto="1"/>
      </patternFill>
    </fill>
    <fill>
      <patternFill patternType="solid">
        <fgColor indexed="13"/>
        <bgColor auto="1"/>
      </patternFill>
    </fill>
    <fill>
      <patternFill patternType="solid">
        <fgColor indexed="14"/>
        <bgColor auto="1"/>
      </patternFill>
    </fill>
    <fill>
      <patternFill patternType="solid">
        <fgColor indexed="15"/>
        <bgColor auto="1"/>
      </patternFill>
    </fill>
    <fill>
      <patternFill patternType="solid">
        <fgColor indexed="16"/>
        <bgColor auto="1"/>
      </patternFill>
    </fill>
    <fill>
      <patternFill patternType="solid">
        <fgColor indexed="19"/>
        <bgColor auto="1"/>
      </patternFill>
    </fill>
    <fill>
      <patternFill patternType="solid">
        <fgColor indexed="21"/>
        <bgColor auto="1"/>
      </patternFill>
    </fill>
    <fill>
      <patternFill patternType="solid">
        <fgColor indexed="23"/>
        <bgColor auto="1"/>
      </patternFill>
    </fill>
    <fill>
      <patternFill patternType="solid">
        <fgColor indexed="24"/>
        <bgColor auto="1"/>
      </patternFill>
    </fill>
    <fill>
      <patternFill patternType="solid">
        <fgColor indexed="25"/>
        <bgColor auto="1"/>
      </patternFill>
    </fill>
    <fill>
      <patternFill patternType="solid">
        <fgColor indexed="26"/>
        <bgColor auto="1"/>
      </patternFill>
    </fill>
  </fills>
  <borders count="61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/>
      <diagonal/>
    </border>
    <border>
      <left style="thin">
        <color indexed="10"/>
      </left>
      <right/>
      <top style="thin">
        <color indexed="10"/>
      </top>
      <bottom/>
      <diagonal/>
    </border>
    <border>
      <left/>
      <right/>
      <top style="thin">
        <color indexed="10"/>
      </top>
      <bottom/>
      <diagonal/>
    </border>
    <border>
      <left/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/>
      <top/>
      <bottom/>
      <diagonal/>
    </border>
    <border>
      <left/>
      <right/>
      <top/>
      <bottom/>
      <diagonal/>
    </border>
    <border>
      <left/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 style="thin">
        <color indexed="10"/>
      </bottom>
      <diagonal/>
    </border>
    <border>
      <left style="thin">
        <color indexed="10"/>
      </left>
      <right style="thin">
        <color indexed="10"/>
      </right>
      <top/>
      <bottom/>
      <diagonal/>
    </border>
    <border>
      <left style="thin">
        <color indexed="10"/>
      </left>
      <right/>
      <top style="thin">
        <color indexed="10"/>
      </top>
      <bottom style="thin">
        <color indexed="10"/>
      </bottom>
      <diagonal/>
    </border>
    <border>
      <left/>
      <right style="thin">
        <color indexed="10"/>
      </right>
      <top style="thin">
        <color indexed="10"/>
      </top>
      <bottom/>
      <diagonal/>
    </border>
    <border>
      <left/>
      <right style="thin">
        <color indexed="10"/>
      </right>
      <top/>
      <bottom/>
      <diagonal/>
    </border>
    <border>
      <left style="thin">
        <color indexed="9"/>
      </left>
      <right style="thin">
        <color indexed="17"/>
      </right>
      <top style="thin">
        <color indexed="9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9"/>
      </top>
      <bottom style="thin">
        <color indexed="17"/>
      </bottom>
      <diagonal/>
    </border>
    <border>
      <left style="thin">
        <color indexed="17"/>
      </left>
      <right/>
      <top style="thin">
        <color indexed="9"/>
      </top>
      <bottom style="thin">
        <color indexed="17"/>
      </bottom>
      <diagonal/>
    </border>
    <border>
      <left/>
      <right/>
      <top style="thin">
        <color indexed="9"/>
      </top>
      <bottom/>
      <diagonal/>
    </border>
    <border>
      <left/>
      <right style="thin">
        <color indexed="17"/>
      </right>
      <top style="thin">
        <color indexed="9"/>
      </top>
      <bottom style="thin">
        <color indexed="17"/>
      </bottom>
      <diagonal/>
    </border>
    <border>
      <left style="thin">
        <color indexed="17"/>
      </left>
      <right style="thin">
        <color indexed="9"/>
      </right>
      <top style="thin">
        <color indexed="9"/>
      </top>
      <bottom style="thin">
        <color indexed="17"/>
      </bottom>
      <diagonal/>
    </border>
    <border>
      <left style="thin">
        <color indexed="9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/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17"/>
      </left>
      <right style="thin">
        <color indexed="9"/>
      </right>
      <top style="thin">
        <color indexed="17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 style="thin">
        <color indexed="18"/>
      </bottom>
      <diagonal/>
    </border>
    <border>
      <left style="thin">
        <color indexed="17"/>
      </left>
      <right/>
      <top style="thin">
        <color indexed="17"/>
      </top>
      <bottom style="thin">
        <color indexed="18"/>
      </bottom>
      <diagonal/>
    </border>
    <border>
      <left style="thin">
        <color indexed="9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 style="thin">
        <color indexed="17"/>
      </right>
      <top style="thin">
        <color indexed="17"/>
      </top>
      <bottom/>
      <diagonal/>
    </border>
    <border>
      <left style="thin">
        <color indexed="17"/>
      </left>
      <right/>
      <top style="thin">
        <color indexed="17"/>
      </top>
      <bottom/>
      <diagonal/>
    </border>
    <border>
      <left/>
      <right style="thin">
        <color indexed="18"/>
      </right>
      <top/>
      <bottom/>
      <diagonal/>
    </border>
    <border>
      <left style="thin">
        <color indexed="18"/>
      </left>
      <right style="thin">
        <color indexed="17"/>
      </right>
      <top style="thin">
        <color indexed="18"/>
      </top>
      <bottom style="thin">
        <color indexed="20"/>
      </bottom>
      <diagonal/>
    </border>
    <border>
      <left style="thin">
        <color indexed="17"/>
      </left>
      <right style="thin">
        <color indexed="18"/>
      </right>
      <top style="thin">
        <color indexed="18"/>
      </top>
      <bottom style="thin">
        <color indexed="20"/>
      </bottom>
      <diagonal/>
    </border>
    <border>
      <left style="thin">
        <color indexed="18"/>
      </left>
      <right/>
      <top/>
      <bottom/>
      <diagonal/>
    </border>
    <border>
      <left/>
      <right style="thin">
        <color indexed="17"/>
      </right>
      <top style="thin">
        <color indexed="17"/>
      </top>
      <bottom style="thin">
        <color indexed="22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22"/>
      </bottom>
      <diagonal/>
    </border>
    <border>
      <left style="thin">
        <color indexed="17"/>
      </left>
      <right style="thin">
        <color indexed="9"/>
      </right>
      <top style="thin">
        <color indexed="17"/>
      </top>
      <bottom style="thin">
        <color indexed="22"/>
      </bottom>
      <diagonal/>
    </border>
    <border>
      <left style="thin">
        <color indexed="9"/>
      </left>
      <right/>
      <top/>
      <bottom/>
      <diagonal/>
    </border>
    <border>
      <left/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 style="thin">
        <color indexed="17"/>
      </bottom>
      <diagonal/>
    </border>
    <border>
      <left style="thin">
        <color indexed="17"/>
      </left>
      <right style="thin">
        <color indexed="17"/>
      </right>
      <top style="thin">
        <color indexed="20"/>
      </top>
      <bottom style="thin">
        <color indexed="17"/>
      </bottom>
      <diagonal/>
    </border>
    <border>
      <left style="thin">
        <color indexed="17"/>
      </left>
      <right style="thin">
        <color indexed="17"/>
      </right>
      <top/>
      <bottom/>
      <diagonal/>
    </border>
    <border>
      <left style="thin">
        <color indexed="17"/>
      </left>
      <right style="thin">
        <color indexed="17"/>
      </right>
      <top style="thin">
        <color indexed="22"/>
      </top>
      <bottom style="thin">
        <color indexed="17"/>
      </bottom>
      <diagonal/>
    </border>
    <border>
      <left style="thin">
        <color indexed="17"/>
      </left>
      <right style="thin">
        <color indexed="9"/>
      </right>
      <top style="thin">
        <color indexed="22"/>
      </top>
      <bottom style="thin">
        <color indexed="17"/>
      </bottom>
      <diagonal/>
    </border>
    <border>
      <left/>
      <right style="thin">
        <color indexed="17"/>
      </right>
      <top style="thin">
        <color indexed="17"/>
      </top>
      <bottom/>
      <diagonal/>
    </border>
    <border>
      <left style="thin">
        <color indexed="9"/>
      </left>
      <right style="thin">
        <color indexed="22"/>
      </right>
      <top/>
      <bottom/>
      <diagonal/>
    </border>
    <border>
      <left style="thin">
        <color indexed="22"/>
      </left>
      <right style="thin">
        <color indexed="17"/>
      </right>
      <top/>
      <bottom/>
      <diagonal/>
    </border>
    <border>
      <left style="thin">
        <color indexed="17"/>
      </left>
      <right/>
      <top/>
      <bottom/>
      <diagonal/>
    </border>
    <border>
      <left/>
      <right/>
      <top style="thin">
        <color indexed="17"/>
      </top>
      <bottom/>
      <diagonal/>
    </border>
    <border>
      <left/>
      <right style="thin">
        <color indexed="17"/>
      </right>
      <top/>
      <bottom/>
      <diagonal/>
    </border>
    <border>
      <left style="thin">
        <color indexed="9"/>
      </left>
      <right style="thin">
        <color indexed="22"/>
      </right>
      <top/>
      <bottom style="thin">
        <color indexed="17"/>
      </bottom>
      <diagonal/>
    </border>
    <border>
      <left style="thin">
        <color indexed="22"/>
      </left>
      <right style="thin">
        <color indexed="17"/>
      </right>
      <top/>
      <bottom style="thin">
        <color indexed="17"/>
      </bottom>
      <diagonal/>
    </border>
    <border>
      <left style="thin">
        <color indexed="9"/>
      </left>
      <right style="thin">
        <color indexed="22"/>
      </right>
      <top style="thin">
        <color indexed="17"/>
      </top>
      <bottom style="thin">
        <color indexed="17"/>
      </bottom>
      <diagonal/>
    </border>
    <border>
      <left style="thin">
        <color indexed="22"/>
      </left>
      <right style="thin">
        <color indexed="17"/>
      </right>
      <top style="thin">
        <color indexed="17"/>
      </top>
      <bottom style="thin">
        <color indexed="17"/>
      </bottom>
      <diagonal/>
    </border>
    <border>
      <left style="thin">
        <color indexed="9"/>
      </left>
      <right style="thin">
        <color indexed="22"/>
      </right>
      <top style="thin">
        <color indexed="17"/>
      </top>
      <bottom style="thin">
        <color indexed="9"/>
      </bottom>
      <diagonal/>
    </border>
    <border>
      <left style="thin">
        <color indexed="22"/>
      </left>
      <right style="thin">
        <color indexed="17"/>
      </right>
      <top style="thin">
        <color indexed="17"/>
      </top>
      <bottom style="thin">
        <color indexed="9"/>
      </bottom>
      <diagonal/>
    </border>
    <border>
      <left style="thin">
        <color indexed="17"/>
      </left>
      <right style="thin">
        <color indexed="17"/>
      </right>
      <top style="thin">
        <color indexed="17"/>
      </top>
      <bottom style="thin">
        <color indexed="9"/>
      </bottom>
      <diagonal/>
    </border>
    <border>
      <left style="thin">
        <color indexed="17"/>
      </left>
      <right style="thin">
        <color indexed="9"/>
      </right>
      <top style="thin">
        <color indexed="17"/>
      </top>
      <bottom style="thin">
        <color indexed="9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 applyNumberFormat="0" applyFill="0" applyBorder="0" applyProtection="0"/>
    <xf numFmtId="0" fontId="4" fillId="0" borderId="8"/>
  </cellStyleXfs>
  <cellXfs count="172">
    <xf numFmtId="0" fontId="0" fillId="0" borderId="0" xfId="0" applyFont="1" applyAlignment="1"/>
    <xf numFmtId="0" fontId="0" fillId="0" borderId="0" xfId="0" applyNumberFormat="1" applyFont="1" applyAlignment="1"/>
    <xf numFmtId="0" fontId="0" fillId="2" borderId="1" xfId="0" applyFont="1" applyFill="1" applyBorder="1" applyAlignment="1">
      <alignment vertical="center"/>
    </xf>
    <xf numFmtId="0" fontId="0" fillId="2" borderId="2" xfId="0" applyFont="1" applyFill="1" applyBorder="1" applyAlignment="1">
      <alignment vertical="center"/>
    </xf>
    <xf numFmtId="49" fontId="0" fillId="3" borderId="3" xfId="0" applyNumberFormat="1" applyFont="1" applyFill="1" applyBorder="1" applyAlignment="1">
      <alignment vertical="center"/>
    </xf>
    <xf numFmtId="2" fontId="0" fillId="3" borderId="3" xfId="0" applyNumberFormat="1" applyFont="1" applyFill="1" applyBorder="1" applyAlignment="1">
      <alignment vertical="center"/>
    </xf>
    <xf numFmtId="0" fontId="0" fillId="2" borderId="4" xfId="0" applyFont="1" applyFill="1" applyBorder="1" applyAlignment="1">
      <alignment vertical="center"/>
    </xf>
    <xf numFmtId="49" fontId="0" fillId="4" borderId="3" xfId="0" applyNumberFormat="1" applyFont="1" applyFill="1" applyBorder="1" applyAlignment="1">
      <alignment vertical="center"/>
    </xf>
    <xf numFmtId="2" fontId="0" fillId="4" borderId="3" xfId="0" applyNumberFormat="1" applyFont="1" applyFill="1" applyBorder="1" applyAlignment="1">
      <alignment vertical="center"/>
    </xf>
    <xf numFmtId="0" fontId="0" fillId="2" borderId="5" xfId="0" applyFont="1" applyFill="1" applyBorder="1" applyAlignment="1">
      <alignment vertical="center"/>
    </xf>
    <xf numFmtId="0" fontId="0" fillId="2" borderId="6" xfId="0" applyFont="1" applyFill="1" applyBorder="1" applyAlignment="1">
      <alignment vertical="center"/>
    </xf>
    <xf numFmtId="0" fontId="0" fillId="3" borderId="7" xfId="0" applyNumberFormat="1" applyFont="1" applyFill="1" applyBorder="1" applyAlignment="1">
      <alignment vertical="center"/>
    </xf>
    <xf numFmtId="49" fontId="0" fillId="3" borderId="8" xfId="0" applyNumberFormat="1" applyFont="1" applyFill="1" applyBorder="1" applyAlignment="1">
      <alignment vertical="center"/>
    </xf>
    <xf numFmtId="0" fontId="0" fillId="3" borderId="8" xfId="0" applyNumberFormat="1" applyFont="1" applyFill="1" applyBorder="1" applyAlignment="1">
      <alignment vertical="center"/>
    </xf>
    <xf numFmtId="4" fontId="0" fillId="3" borderId="8" xfId="0" applyNumberFormat="1" applyFont="1" applyFill="1" applyBorder="1" applyAlignment="1">
      <alignment vertical="center"/>
    </xf>
    <xf numFmtId="0" fontId="0" fillId="2" borderId="9" xfId="0" applyFont="1" applyFill="1" applyBorder="1" applyAlignment="1">
      <alignment vertical="center"/>
    </xf>
    <xf numFmtId="0" fontId="0" fillId="2" borderId="10" xfId="0" applyFont="1" applyFill="1" applyBorder="1" applyAlignment="1">
      <alignment vertical="center"/>
    </xf>
    <xf numFmtId="49" fontId="0" fillId="2" borderId="11" xfId="0" applyNumberFormat="1" applyFont="1" applyFill="1" applyBorder="1" applyAlignment="1">
      <alignment vertical="center"/>
    </xf>
    <xf numFmtId="2" fontId="0" fillId="2" borderId="11" xfId="0" applyNumberFormat="1" applyFont="1" applyFill="1" applyBorder="1" applyAlignment="1">
      <alignment vertical="center"/>
    </xf>
    <xf numFmtId="0" fontId="0" fillId="2" borderId="12" xfId="0" applyFont="1" applyFill="1" applyBorder="1" applyAlignment="1">
      <alignment vertical="center"/>
    </xf>
    <xf numFmtId="49" fontId="0" fillId="5" borderId="8" xfId="0" applyNumberFormat="1" applyFont="1" applyFill="1" applyBorder="1" applyAlignment="1">
      <alignment vertical="center"/>
    </xf>
    <xf numFmtId="2" fontId="0" fillId="5" borderId="8" xfId="0" applyNumberFormat="1" applyFont="1" applyFill="1" applyBorder="1" applyAlignment="1">
      <alignment vertical="center"/>
    </xf>
    <xf numFmtId="0" fontId="0" fillId="2" borderId="13" xfId="0" applyFont="1" applyFill="1" applyBorder="1" applyAlignment="1">
      <alignment vertical="center"/>
    </xf>
    <xf numFmtId="0" fontId="0" fillId="2" borderId="11" xfId="0" applyFont="1" applyFill="1" applyBorder="1" applyAlignment="1">
      <alignment vertical="center"/>
    </xf>
    <xf numFmtId="4" fontId="0" fillId="2" borderId="11" xfId="0" applyNumberFormat="1" applyFont="1" applyFill="1" applyBorder="1" applyAlignment="1">
      <alignment vertical="center"/>
    </xf>
    <xf numFmtId="0" fontId="0" fillId="2" borderId="7" xfId="0" applyFont="1" applyFill="1" applyBorder="1" applyAlignment="1">
      <alignment vertical="center"/>
    </xf>
    <xf numFmtId="49" fontId="0" fillId="6" borderId="8" xfId="0" applyNumberFormat="1" applyFont="1" applyFill="1" applyBorder="1" applyAlignment="1">
      <alignment vertical="center"/>
    </xf>
    <xf numFmtId="2" fontId="0" fillId="6" borderId="8" xfId="0" applyNumberFormat="1" applyFont="1" applyFill="1" applyBorder="1" applyAlignment="1">
      <alignment vertical="center"/>
    </xf>
    <xf numFmtId="0" fontId="0" fillId="6" borderId="7" xfId="0" applyNumberFormat="1" applyFont="1" applyFill="1" applyBorder="1" applyAlignment="1">
      <alignment vertical="center"/>
    </xf>
    <xf numFmtId="49" fontId="0" fillId="6" borderId="8" xfId="0" applyNumberFormat="1" applyFont="1" applyFill="1" applyBorder="1" applyAlignment="1">
      <alignment vertical="center" wrapText="1"/>
    </xf>
    <xf numFmtId="1" fontId="2" fillId="6" borderId="8" xfId="0" applyNumberFormat="1" applyFont="1" applyFill="1" applyBorder="1" applyAlignment="1">
      <alignment horizontal="right" vertical="center"/>
    </xf>
    <xf numFmtId="4" fontId="2" fillId="6" borderId="8" xfId="0" applyNumberFormat="1" applyFont="1" applyFill="1" applyBorder="1" applyAlignment="1">
      <alignment horizontal="right" vertical="center"/>
    </xf>
    <xf numFmtId="4" fontId="2" fillId="2" borderId="9" xfId="0" applyNumberFormat="1" applyFont="1" applyFill="1" applyBorder="1" applyAlignment="1">
      <alignment horizontal="right" vertical="center"/>
    </xf>
    <xf numFmtId="2" fontId="2" fillId="2" borderId="10" xfId="0" applyNumberFormat="1" applyFont="1" applyFill="1" applyBorder="1" applyAlignment="1">
      <alignment horizontal="right" vertical="center"/>
    </xf>
    <xf numFmtId="4" fontId="2" fillId="2" borderId="6" xfId="0" applyNumberFormat="1" applyFont="1" applyFill="1" applyBorder="1" applyAlignment="1">
      <alignment horizontal="right" vertical="center"/>
    </xf>
    <xf numFmtId="4" fontId="2" fillId="2" borderId="5" xfId="0" applyNumberFormat="1" applyFont="1" applyFill="1" applyBorder="1" applyAlignment="1">
      <alignment horizontal="right" vertical="center"/>
    </xf>
    <xf numFmtId="2" fontId="2" fillId="2" borderId="6" xfId="0" applyNumberFormat="1" applyFont="1" applyFill="1" applyBorder="1" applyAlignment="1">
      <alignment horizontal="right" vertical="center"/>
    </xf>
    <xf numFmtId="0" fontId="0" fillId="2" borderId="6" xfId="0" applyFont="1" applyFill="1" applyBorder="1" applyAlignment="1">
      <alignment vertical="center" wrapText="1"/>
    </xf>
    <xf numFmtId="4" fontId="2" fillId="2" borderId="13" xfId="0" applyNumberFormat="1" applyFont="1" applyFill="1" applyBorder="1" applyAlignment="1">
      <alignment horizontal="right" vertical="center"/>
    </xf>
    <xf numFmtId="2" fontId="2" fillId="2" borderId="1" xfId="0" applyNumberFormat="1" applyFont="1" applyFill="1" applyBorder="1" applyAlignment="1">
      <alignment horizontal="right" vertical="center"/>
    </xf>
    <xf numFmtId="0" fontId="0" fillId="2" borderId="11" xfId="0" applyFont="1" applyFill="1" applyBorder="1" applyAlignment="1">
      <alignment vertical="center" wrapText="1"/>
    </xf>
    <xf numFmtId="0" fontId="0" fillId="2" borderId="7" xfId="0" applyFont="1" applyFill="1" applyBorder="1" applyAlignment="1">
      <alignment vertical="center" wrapText="1"/>
    </xf>
    <xf numFmtId="49" fontId="0" fillId="7" borderId="8" xfId="0" applyNumberFormat="1" applyFont="1" applyFill="1" applyBorder="1" applyAlignment="1">
      <alignment vertical="center" wrapText="1"/>
    </xf>
    <xf numFmtId="2" fontId="0" fillId="7" borderId="8" xfId="0" applyNumberFormat="1" applyFont="1" applyFill="1" applyBorder="1" applyAlignment="1">
      <alignment vertical="center" wrapText="1"/>
    </xf>
    <xf numFmtId="0" fontId="0" fillId="2" borderId="5" xfId="0" applyFont="1" applyFill="1" applyBorder="1" applyAlignment="1">
      <alignment vertical="center" wrapText="1"/>
    </xf>
    <xf numFmtId="0" fontId="0" fillId="7" borderId="7" xfId="0" applyNumberFormat="1" applyFont="1" applyFill="1" applyBorder="1" applyAlignment="1">
      <alignment vertical="center"/>
    </xf>
    <xf numFmtId="49" fontId="0" fillId="7" borderId="8" xfId="0" applyNumberFormat="1" applyFont="1" applyFill="1" applyBorder="1" applyAlignment="1">
      <alignment vertical="center"/>
    </xf>
    <xf numFmtId="1" fontId="2" fillId="7" borderId="8" xfId="0" applyNumberFormat="1" applyFont="1" applyFill="1" applyBorder="1" applyAlignment="1">
      <alignment horizontal="right" vertical="center"/>
    </xf>
    <xf numFmtId="4" fontId="2" fillId="7" borderId="8" xfId="0" applyNumberFormat="1" applyFont="1" applyFill="1" applyBorder="1" applyAlignment="1">
      <alignment horizontal="right" vertical="center"/>
    </xf>
    <xf numFmtId="0" fontId="0" fillId="2" borderId="14" xfId="0" applyFont="1" applyFill="1" applyBorder="1" applyAlignment="1">
      <alignment vertical="center"/>
    </xf>
    <xf numFmtId="49" fontId="0" fillId="8" borderId="8" xfId="0" applyNumberFormat="1" applyFont="1" applyFill="1" applyBorder="1" applyAlignment="1">
      <alignment vertical="center"/>
    </xf>
    <xf numFmtId="2" fontId="0" fillId="8" borderId="8" xfId="0" applyNumberFormat="1" applyFont="1" applyFill="1" applyBorder="1" applyAlignment="1">
      <alignment vertical="center"/>
    </xf>
    <xf numFmtId="0" fontId="0" fillId="8" borderId="7" xfId="0" applyNumberFormat="1" applyFont="1" applyFill="1" applyBorder="1" applyAlignment="1">
      <alignment vertical="center"/>
    </xf>
    <xf numFmtId="49" fontId="2" fillId="8" borderId="8" xfId="0" applyNumberFormat="1" applyFont="1" applyFill="1" applyBorder="1" applyAlignment="1">
      <alignment horizontal="left" vertical="center" wrapText="1"/>
    </xf>
    <xf numFmtId="1" fontId="2" fillId="8" borderId="8" xfId="0" applyNumberFormat="1" applyFont="1" applyFill="1" applyBorder="1" applyAlignment="1">
      <alignment horizontal="right" vertical="center"/>
    </xf>
    <xf numFmtId="0" fontId="2" fillId="8" borderId="8" xfId="0" applyNumberFormat="1" applyFont="1" applyFill="1" applyBorder="1" applyAlignment="1">
      <alignment horizontal="right" vertical="center"/>
    </xf>
    <xf numFmtId="1" fontId="0" fillId="8" borderId="8" xfId="0" applyNumberFormat="1" applyFont="1" applyFill="1" applyBorder="1" applyAlignment="1">
      <alignment vertical="center"/>
    </xf>
    <xf numFmtId="0" fontId="0" fillId="2" borderId="10" xfId="0" applyNumberFormat="1" applyFont="1" applyFill="1" applyBorder="1" applyAlignment="1">
      <alignment vertical="center"/>
    </xf>
    <xf numFmtId="0" fontId="0" fillId="2" borderId="6" xfId="0" applyNumberFormat="1" applyFont="1" applyFill="1" applyBorder="1" applyAlignment="1">
      <alignment vertical="center"/>
    </xf>
    <xf numFmtId="0" fontId="0" fillId="0" borderId="0" xfId="0" applyNumberFormat="1" applyFont="1" applyAlignment="1"/>
    <xf numFmtId="0" fontId="0" fillId="0" borderId="15" xfId="0" applyFont="1" applyBorder="1" applyAlignment="1"/>
    <xf numFmtId="0" fontId="0" fillId="0" borderId="16" xfId="0" applyFont="1" applyBorder="1" applyAlignment="1"/>
    <xf numFmtId="0" fontId="0" fillId="0" borderId="17" xfId="0" applyFont="1" applyBorder="1" applyAlignment="1"/>
    <xf numFmtId="0" fontId="0" fillId="0" borderId="18" xfId="0" applyFont="1" applyBorder="1" applyAlignment="1">
      <alignment vertical="center"/>
    </xf>
    <xf numFmtId="2" fontId="0" fillId="0" borderId="18" xfId="0" applyNumberFormat="1" applyFont="1" applyBorder="1" applyAlignment="1">
      <alignment vertical="center"/>
    </xf>
    <xf numFmtId="0" fontId="0" fillId="0" borderId="19" xfId="0" applyFont="1" applyBorder="1" applyAlignment="1"/>
    <xf numFmtId="0" fontId="0" fillId="0" borderId="20" xfId="0" applyFont="1" applyBorder="1" applyAlignment="1"/>
    <xf numFmtId="0" fontId="0" fillId="0" borderId="21" xfId="0" applyFont="1" applyBorder="1" applyAlignment="1"/>
    <xf numFmtId="0" fontId="0" fillId="0" borderId="22" xfId="0" applyFont="1" applyBorder="1" applyAlignment="1"/>
    <xf numFmtId="0" fontId="0" fillId="0" borderId="23" xfId="0" applyFont="1" applyBorder="1" applyAlignment="1"/>
    <xf numFmtId="0" fontId="0" fillId="0" borderId="8" xfId="0" applyFont="1" applyBorder="1" applyAlignment="1">
      <alignment vertical="center"/>
    </xf>
    <xf numFmtId="2" fontId="0" fillId="0" borderId="8" xfId="0" applyNumberFormat="1" applyFont="1" applyBorder="1" applyAlignment="1">
      <alignment vertical="center"/>
    </xf>
    <xf numFmtId="0" fontId="0" fillId="0" borderId="24" xfId="0" applyFont="1" applyBorder="1" applyAlignment="1"/>
    <xf numFmtId="0" fontId="0" fillId="0" borderId="25" xfId="0" applyFont="1" applyBorder="1" applyAlignment="1"/>
    <xf numFmtId="0" fontId="0" fillId="0" borderId="26" xfId="0" applyFont="1" applyBorder="1" applyAlignment="1"/>
    <xf numFmtId="0" fontId="0" fillId="0" borderId="27" xfId="0" applyFont="1" applyBorder="1" applyAlignment="1"/>
    <xf numFmtId="0" fontId="0" fillId="0" borderId="28" xfId="0" applyFont="1" applyBorder="1" applyAlignment="1"/>
    <xf numFmtId="0" fontId="0" fillId="0" borderId="29" xfId="0" applyFont="1" applyBorder="1" applyAlignment="1"/>
    <xf numFmtId="49" fontId="0" fillId="0" borderId="29" xfId="0" applyNumberFormat="1" applyFont="1" applyBorder="1" applyAlignment="1"/>
    <xf numFmtId="0" fontId="0" fillId="0" borderId="30" xfId="0" applyFont="1" applyBorder="1" applyAlignment="1"/>
    <xf numFmtId="2" fontId="0" fillId="3" borderId="31" xfId="0" applyNumberFormat="1" applyFont="1" applyFill="1" applyBorder="1" applyAlignment="1">
      <alignment vertical="center"/>
    </xf>
    <xf numFmtId="49" fontId="0" fillId="9" borderId="32" xfId="0" applyNumberFormat="1" applyFont="1" applyFill="1" applyBorder="1" applyAlignment="1"/>
    <xf numFmtId="4" fontId="0" fillId="9" borderId="33" xfId="0" applyNumberFormat="1" applyFont="1" applyFill="1" applyBorder="1" applyAlignment="1"/>
    <xf numFmtId="49" fontId="0" fillId="4" borderId="34" xfId="0" applyNumberFormat="1" applyFont="1" applyFill="1" applyBorder="1" applyAlignment="1">
      <alignment vertical="center"/>
    </xf>
    <xf numFmtId="4" fontId="0" fillId="4" borderId="8" xfId="0" applyNumberFormat="1" applyFont="1" applyFill="1" applyBorder="1" applyAlignment="1">
      <alignment vertical="center"/>
    </xf>
    <xf numFmtId="49" fontId="0" fillId="4" borderId="8" xfId="0" applyNumberFormat="1" applyFont="1" applyFill="1" applyBorder="1" applyAlignment="1">
      <alignment vertical="center"/>
    </xf>
    <xf numFmtId="2" fontId="0" fillId="4" borderId="8" xfId="0" applyNumberFormat="1" applyFont="1" applyFill="1" applyBorder="1" applyAlignment="1">
      <alignment vertical="center"/>
    </xf>
    <xf numFmtId="49" fontId="0" fillId="10" borderId="35" xfId="0" applyNumberFormat="1" applyFont="1" applyFill="1" applyBorder="1" applyAlignment="1"/>
    <xf numFmtId="2" fontId="0" fillId="10" borderId="36" xfId="0" applyNumberFormat="1" applyFont="1" applyFill="1" applyBorder="1" applyAlignment="1"/>
    <xf numFmtId="0" fontId="0" fillId="10" borderId="36" xfId="0" applyFont="1" applyFill="1" applyBorder="1" applyAlignment="1"/>
    <xf numFmtId="0" fontId="0" fillId="10" borderId="37" xfId="0" applyFont="1" applyFill="1" applyBorder="1" applyAlignment="1"/>
    <xf numFmtId="0" fontId="0" fillId="3" borderId="38" xfId="0" applyNumberFormat="1" applyFont="1" applyFill="1" applyBorder="1" applyAlignment="1">
      <alignment vertical="center"/>
    </xf>
    <xf numFmtId="0" fontId="0" fillId="0" borderId="39" xfId="0" applyFont="1" applyBorder="1" applyAlignment="1"/>
    <xf numFmtId="0" fontId="0" fillId="0" borderId="40" xfId="0" applyFont="1" applyBorder="1" applyAlignment="1"/>
    <xf numFmtId="0" fontId="0" fillId="0" borderId="41" xfId="0" applyFont="1" applyBorder="1" applyAlignment="1"/>
    <xf numFmtId="0" fontId="0" fillId="0" borderId="42" xfId="0" applyFont="1" applyBorder="1" applyAlignment="1"/>
    <xf numFmtId="49" fontId="0" fillId="0" borderId="42" xfId="0" applyNumberFormat="1" applyFont="1" applyBorder="1" applyAlignment="1"/>
    <xf numFmtId="2" fontId="0" fillId="0" borderId="42" xfId="0" applyNumberFormat="1" applyFont="1" applyBorder="1" applyAlignment="1"/>
    <xf numFmtId="49" fontId="0" fillId="0" borderId="43" xfId="0" applyNumberFormat="1" applyFont="1" applyBorder="1" applyAlignment="1"/>
    <xf numFmtId="4" fontId="0" fillId="0" borderId="43" xfId="0" applyNumberFormat="1" applyFont="1" applyBorder="1" applyAlignment="1"/>
    <xf numFmtId="0" fontId="0" fillId="0" borderId="43" xfId="0" applyFont="1" applyBorder="1" applyAlignment="1"/>
    <xf numFmtId="0" fontId="0" fillId="0" borderId="44" xfId="0" applyFont="1" applyBorder="1" applyAlignment="1"/>
    <xf numFmtId="0" fontId="0" fillId="5" borderId="8" xfId="0" applyFont="1" applyFill="1" applyBorder="1" applyAlignment="1">
      <alignment vertical="center"/>
    </xf>
    <xf numFmtId="49" fontId="0" fillId="0" borderId="24" xfId="0" applyNumberFormat="1" applyFont="1" applyBorder="1" applyAlignment="1"/>
    <xf numFmtId="4" fontId="0" fillId="0" borderId="22" xfId="0" applyNumberFormat="1" applyFont="1" applyBorder="1" applyAlignment="1"/>
    <xf numFmtId="49" fontId="0" fillId="0" borderId="22" xfId="0" applyNumberFormat="1" applyFont="1" applyBorder="1" applyAlignment="1"/>
    <xf numFmtId="0" fontId="0" fillId="0" borderId="22" xfId="0" applyNumberFormat="1" applyFont="1" applyBorder="1" applyAlignment="1"/>
    <xf numFmtId="0" fontId="0" fillId="0" borderId="45" xfId="0" applyFont="1" applyBorder="1" applyAlignment="1"/>
    <xf numFmtId="0" fontId="0" fillId="11" borderId="46" xfId="0" applyFont="1" applyFill="1" applyBorder="1" applyAlignment="1"/>
    <xf numFmtId="0" fontId="0" fillId="0" borderId="47" xfId="0" applyFont="1" applyBorder="1" applyAlignment="1"/>
    <xf numFmtId="4" fontId="0" fillId="0" borderId="42" xfId="0" applyNumberFormat="1" applyFont="1" applyBorder="1" applyAlignment="1"/>
    <xf numFmtId="0" fontId="0" fillId="3" borderId="42" xfId="0" applyNumberFormat="1" applyFont="1" applyFill="1" applyBorder="1" applyAlignment="1">
      <alignment vertical="center"/>
    </xf>
    <xf numFmtId="0" fontId="0" fillId="0" borderId="48" xfId="0" applyFont="1" applyBorder="1" applyAlignment="1"/>
    <xf numFmtId="49" fontId="0" fillId="12" borderId="24" xfId="0" applyNumberFormat="1" applyFont="1" applyFill="1" applyBorder="1" applyAlignment="1"/>
    <xf numFmtId="0" fontId="0" fillId="12" borderId="23" xfId="0" applyNumberFormat="1" applyFont="1" applyFill="1" applyBorder="1" applyAlignment="1"/>
    <xf numFmtId="49" fontId="0" fillId="4" borderId="49" xfId="0" applyNumberFormat="1" applyFont="1" applyFill="1" applyBorder="1" applyAlignment="1">
      <alignment vertical="center"/>
    </xf>
    <xf numFmtId="0" fontId="0" fillId="4" borderId="49" xfId="0" applyNumberFormat="1" applyFont="1" applyFill="1" applyBorder="1" applyAlignment="1">
      <alignment vertical="center"/>
    </xf>
    <xf numFmtId="0" fontId="0" fillId="6" borderId="38" xfId="0" applyNumberFormat="1" applyFont="1" applyFill="1" applyBorder="1" applyAlignment="1">
      <alignment vertical="center"/>
    </xf>
    <xf numFmtId="4" fontId="2" fillId="0" borderId="39" xfId="0" applyNumberFormat="1" applyFont="1" applyBorder="1" applyAlignment="1">
      <alignment horizontal="right"/>
    </xf>
    <xf numFmtId="2" fontId="2" fillId="0" borderId="40" xfId="0" applyNumberFormat="1" applyFont="1" applyBorder="1" applyAlignment="1">
      <alignment horizontal="right"/>
    </xf>
    <xf numFmtId="4" fontId="2" fillId="0" borderId="22" xfId="0" applyNumberFormat="1" applyFont="1" applyBorder="1" applyAlignment="1">
      <alignment horizontal="right"/>
    </xf>
    <xf numFmtId="4" fontId="2" fillId="0" borderId="40" xfId="0" applyNumberFormat="1" applyFont="1" applyBorder="1" applyAlignment="1">
      <alignment horizontal="right"/>
    </xf>
    <xf numFmtId="4" fontId="2" fillId="0" borderId="24" xfId="0" applyNumberFormat="1" applyFont="1" applyBorder="1" applyAlignment="1">
      <alignment horizontal="right"/>
    </xf>
    <xf numFmtId="2" fontId="2" fillId="0" borderId="22" xfId="0" applyNumberFormat="1" applyFont="1" applyBorder="1" applyAlignment="1">
      <alignment horizontal="right"/>
    </xf>
    <xf numFmtId="0" fontId="0" fillId="2" borderId="22" xfId="0" applyFont="1" applyFill="1" applyBorder="1" applyAlignment="1">
      <alignment vertical="center" wrapText="1"/>
    </xf>
    <xf numFmtId="0" fontId="0" fillId="2" borderId="25" xfId="0" applyFont="1" applyFill="1" applyBorder="1" applyAlignment="1">
      <alignment vertical="center" wrapText="1"/>
    </xf>
    <xf numFmtId="4" fontId="2" fillId="0" borderId="45" xfId="0" applyNumberFormat="1" applyFont="1" applyBorder="1" applyAlignment="1">
      <alignment horizontal="right"/>
    </xf>
    <xf numFmtId="2" fontId="2" fillId="0" borderId="29" xfId="0" applyNumberFormat="1" applyFont="1" applyBorder="1" applyAlignment="1">
      <alignment horizontal="right"/>
    </xf>
    <xf numFmtId="0" fontId="0" fillId="2" borderId="42" xfId="0" applyFont="1" applyFill="1" applyBorder="1" applyAlignment="1">
      <alignment vertical="center" wrapText="1"/>
    </xf>
    <xf numFmtId="0" fontId="0" fillId="2" borderId="48" xfId="0" applyFont="1" applyFill="1" applyBorder="1" applyAlignment="1">
      <alignment vertical="center" wrapText="1"/>
    </xf>
    <xf numFmtId="49" fontId="0" fillId="13" borderId="24" xfId="0" applyNumberFormat="1" applyFont="1" applyFill="1" applyBorder="1" applyAlignment="1"/>
    <xf numFmtId="0" fontId="0" fillId="13" borderId="23" xfId="0" applyNumberFormat="1" applyFont="1" applyFill="1" applyBorder="1" applyAlignment="1"/>
    <xf numFmtId="0" fontId="0" fillId="2" borderId="24" xfId="0" applyFont="1" applyFill="1" applyBorder="1" applyAlignment="1">
      <alignment vertical="center" wrapText="1"/>
    </xf>
    <xf numFmtId="0" fontId="0" fillId="7" borderId="38" xfId="0" applyNumberFormat="1" applyFont="1" applyFill="1" applyBorder="1" applyAlignment="1">
      <alignment vertical="center"/>
    </xf>
    <xf numFmtId="0" fontId="0" fillId="0" borderId="50" xfId="0" applyFont="1" applyBorder="1" applyAlignment="1"/>
    <xf numFmtId="49" fontId="0" fillId="14" borderId="24" xfId="0" applyNumberFormat="1" applyFont="1" applyFill="1" applyBorder="1" applyAlignment="1"/>
    <xf numFmtId="0" fontId="0" fillId="14" borderId="23" xfId="0" applyNumberFormat="1" applyFont="1" applyFill="1" applyBorder="1" applyAlignment="1"/>
    <xf numFmtId="0" fontId="0" fillId="8" borderId="38" xfId="0" applyNumberFormat="1" applyFont="1" applyFill="1" applyBorder="1" applyAlignment="1">
      <alignment vertical="center"/>
    </xf>
    <xf numFmtId="1" fontId="0" fillId="3" borderId="8" xfId="0" applyNumberFormat="1" applyFont="1" applyFill="1" applyBorder="1" applyAlignment="1">
      <alignment vertical="center"/>
    </xf>
    <xf numFmtId="0" fontId="0" fillId="8" borderId="8" xfId="0" applyNumberFormat="1" applyFont="1" applyFill="1" applyBorder="1" applyAlignment="1">
      <alignment vertical="center"/>
    </xf>
    <xf numFmtId="0" fontId="0" fillId="11" borderId="51" xfId="0" applyNumberFormat="1" applyFont="1" applyFill="1" applyBorder="1" applyAlignment="1"/>
    <xf numFmtId="0" fontId="0" fillId="0" borderId="52" xfId="0" applyFont="1" applyBorder="1" applyAlignment="1"/>
    <xf numFmtId="0" fontId="0" fillId="11" borderId="53" xfId="0" applyNumberFormat="1" applyFont="1" applyFill="1" applyBorder="1" applyAlignment="1"/>
    <xf numFmtId="0" fontId="0" fillId="0" borderId="54" xfId="0" applyFont="1" applyBorder="1" applyAlignment="1"/>
    <xf numFmtId="0" fontId="0" fillId="11" borderId="55" xfId="0" applyNumberFormat="1" applyFont="1" applyFill="1" applyBorder="1" applyAlignment="1"/>
    <xf numFmtId="0" fontId="0" fillId="0" borderId="56" xfId="0" applyFont="1" applyBorder="1" applyAlignment="1"/>
    <xf numFmtId="0" fontId="0" fillId="0" borderId="57" xfId="0" applyFont="1" applyBorder="1" applyAlignment="1"/>
    <xf numFmtId="0" fontId="0" fillId="0" borderId="58" xfId="0" applyFont="1" applyBorder="1" applyAlignment="1"/>
    <xf numFmtId="0" fontId="0" fillId="0" borderId="0" xfId="0" applyNumberFormat="1" applyFont="1" applyAlignment="1"/>
    <xf numFmtId="0" fontId="2" fillId="3" borderId="2" xfId="0" applyNumberFormat="1" applyFont="1" applyFill="1" applyBorder="1" applyAlignment="1">
      <alignment horizontal="left" vertical="center"/>
    </xf>
    <xf numFmtId="49" fontId="2" fillId="3" borderId="3" xfId="0" applyNumberFormat="1" applyFont="1" applyFill="1" applyBorder="1" applyAlignment="1">
      <alignment vertical="center"/>
    </xf>
    <xf numFmtId="0" fontId="2" fillId="3" borderId="3" xfId="0" applyNumberFormat="1" applyFont="1" applyFill="1" applyBorder="1" applyAlignment="1">
      <alignment vertical="center"/>
    </xf>
    <xf numFmtId="4" fontId="2" fillId="3" borderId="3" xfId="0" applyNumberFormat="1" applyFont="1" applyFill="1" applyBorder="1" applyAlignment="1">
      <alignment vertical="center"/>
    </xf>
    <xf numFmtId="0" fontId="0" fillId="0" borderId="5" xfId="0" applyFont="1" applyBorder="1" applyAlignment="1"/>
    <xf numFmtId="0" fontId="0" fillId="0" borderId="6" xfId="0" applyFont="1" applyBorder="1" applyAlignment="1"/>
    <xf numFmtId="4" fontId="0" fillId="0" borderId="6" xfId="0" applyNumberFormat="1" applyFont="1" applyBorder="1" applyAlignment="1"/>
    <xf numFmtId="0" fontId="2" fillId="3" borderId="7" xfId="0" applyNumberFormat="1" applyFont="1" applyFill="1" applyBorder="1" applyAlignment="1">
      <alignment horizontal="left" vertical="center"/>
    </xf>
    <xf numFmtId="49" fontId="2" fillId="3" borderId="8" xfId="0" applyNumberFormat="1" applyFont="1" applyFill="1" applyBorder="1" applyAlignment="1">
      <alignment vertical="center"/>
    </xf>
    <xf numFmtId="0" fontId="2" fillId="3" borderId="8" xfId="0" applyNumberFormat="1" applyFont="1" applyFill="1" applyBorder="1" applyAlignment="1">
      <alignment vertical="center"/>
    </xf>
    <xf numFmtId="4" fontId="2" fillId="3" borderId="8" xfId="0" applyNumberFormat="1" applyFont="1" applyFill="1" applyBorder="1" applyAlignment="1">
      <alignment vertical="center"/>
    </xf>
    <xf numFmtId="0" fontId="0" fillId="0" borderId="10" xfId="0" applyFont="1" applyBorder="1" applyAlignment="1"/>
    <xf numFmtId="0" fontId="3" fillId="0" borderId="22" xfId="0" applyNumberFormat="1" applyFont="1" applyBorder="1" applyAlignment="1"/>
    <xf numFmtId="0" fontId="0" fillId="2" borderId="8" xfId="0" applyFont="1" applyFill="1" applyBorder="1" applyAlignment="1">
      <alignment vertical="center"/>
    </xf>
    <xf numFmtId="0" fontId="4" fillId="0" borderId="59" xfId="1" applyNumberFormat="1" applyFont="1" applyBorder="1" applyAlignment="1">
      <alignment wrapText="1"/>
    </xf>
    <xf numFmtId="1" fontId="4" fillId="0" borderId="60" xfId="1" applyNumberFormat="1" applyFont="1" applyBorder="1" applyAlignment="1">
      <alignment horizontal="right" vertical="top"/>
    </xf>
    <xf numFmtId="4" fontId="4" fillId="0" borderId="60" xfId="1" applyNumberFormat="1" applyFont="1" applyBorder="1" applyAlignment="1">
      <alignment horizontal="right"/>
    </xf>
    <xf numFmtId="0" fontId="3" fillId="2" borderId="6" xfId="0" applyFont="1" applyFill="1" applyBorder="1" applyAlignment="1">
      <alignment vertical="center"/>
    </xf>
    <xf numFmtId="1" fontId="0" fillId="2" borderId="6" xfId="0" applyNumberFormat="1" applyFont="1" applyFill="1" applyBorder="1" applyAlignment="1">
      <alignment vertical="center"/>
    </xf>
    <xf numFmtId="1" fontId="4" fillId="0" borderId="8" xfId="1" applyNumberFormat="1" applyFont="1" applyFill="1" applyBorder="1" applyAlignment="1">
      <alignment horizontal="right" vertical="top"/>
    </xf>
    <xf numFmtId="4" fontId="4" fillId="0" borderId="8" xfId="1" applyNumberFormat="1" applyFont="1" applyFill="1" applyBorder="1" applyAlignment="1">
      <alignment horizontal="right"/>
    </xf>
    <xf numFmtId="0" fontId="1" fillId="0" borderId="0" xfId="0" applyFont="1" applyAlignment="1">
      <alignment horizontal="center" vertical="center"/>
    </xf>
    <xf numFmtId="0" fontId="0" fillId="0" borderId="8" xfId="0" applyNumberFormat="1" applyFont="1" applyFill="1" applyBorder="1" applyAlignment="1"/>
  </cellXfs>
  <cellStyles count="2">
    <cellStyle name="Обычный" xfId="0" builtinId="0"/>
    <cellStyle name="Обычный 2" xfId="1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FFFFFF"/>
      <rgbColor rgb="FFAAAAAA"/>
      <rgbColor rgb="FFD9E2F3"/>
      <rgbColor rgb="FFFBE4D5"/>
      <rgbColor rgb="FFF7CAAC"/>
      <rgbColor rgb="FFE2EEDA"/>
      <rgbColor rgb="FFFFF2CB"/>
      <rgbColor rgb="FFCFCFCF"/>
      <rgbColor rgb="FFA5A5A5"/>
      <rgbColor rgb="FFDEE6F4"/>
      <rgbColor rgb="FFA1B8E1"/>
      <rgbColor rgb="FFB8CAE8"/>
      <rgbColor rgb="FFBDC0BF"/>
      <rgbColor rgb="FF3F3F3F"/>
      <rgbColor rgb="FFDBDBDB"/>
      <rgbColor rgb="FFB7D6A3"/>
      <rgbColor rgb="FFFFDF7F"/>
      <rgbColor rgb="FFDDDDDD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Тема Office">
      <a:dk1>
        <a:srgbClr val="000000"/>
      </a:dk1>
      <a:lt1>
        <a:srgbClr val="FFFFFF"/>
      </a:lt1>
      <a:dk2>
        <a:srgbClr val="A7A7A7"/>
      </a:dk2>
      <a:lt2>
        <a:srgbClr val="535353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000FF"/>
      </a:hlink>
      <a:folHlink>
        <a:srgbClr val="FF00FF"/>
      </a:folHlink>
    </a:clrScheme>
    <a:fontScheme name="Тема Office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Тема 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FFFFFF"/>
        </a:solidFill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ctr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spDef>
    <a:lnDef>
      <a:spPr>
        <a:noFill/>
        <a:ln w="12700" cap="flat">
          <a:solidFill>
            <a:schemeClr val="accent1"/>
          </a:solidFill>
          <a:prstDash val="solid"/>
          <a:miter lim="8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45719" tIns="45719" rIns="45719" bIns="45719" numCol="1" spcCol="38100" rtlCol="0" anchor="t">
        <a:spAutoFit/>
      </a:bodyPr>
      <a:lstStyle>
        <a:defPPr marL="0" marR="0" indent="0" algn="l" defTabSz="9144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1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  <a:latin typeface="Calibri"/>
            <a:ea typeface="Calibri"/>
            <a:cs typeface="Calibri"/>
            <a:sym typeface="Calibri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tabLst/>
          <a:defRPr kumimoji="0" sz="1800" b="0" i="0" u="none" strike="noStrike" cap="none" spc="0" normalizeH="0" baseline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none"/>
      </a:style>
    </a:tx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84"/>
  <sheetViews>
    <sheetView showGridLines="0" tabSelected="1" topLeftCell="A67" zoomScaleNormal="100" workbookViewId="0">
      <selection activeCell="E85" sqref="E85"/>
    </sheetView>
  </sheetViews>
  <sheetFormatPr defaultColWidth="8.85546875" defaultRowHeight="28.5" customHeight="1" x14ac:dyDescent="0.25"/>
  <cols>
    <col min="1" max="1" width="6.42578125" style="1" customWidth="1"/>
    <col min="2" max="2" width="73.7109375" style="1" customWidth="1"/>
    <col min="3" max="3" width="11.42578125" style="1" customWidth="1"/>
    <col min="4" max="4" width="13.42578125" style="1" customWidth="1"/>
    <col min="5" max="5" width="12.140625" style="1" customWidth="1"/>
    <col min="6" max="6" width="9.140625" style="1" customWidth="1"/>
    <col min="7" max="7" width="10.28515625" style="1" customWidth="1"/>
    <col min="8" max="8" width="9.140625" style="1" customWidth="1"/>
    <col min="9" max="9" width="16.140625" style="1" customWidth="1"/>
    <col min="10" max="10" width="10.42578125" style="1" customWidth="1"/>
    <col min="11" max="43" width="9.140625" style="1" customWidth="1"/>
    <col min="44" max="44" width="8.85546875" style="1" customWidth="1"/>
    <col min="45" max="16384" width="8.85546875" style="1"/>
  </cols>
  <sheetData>
    <row r="1" spans="1:43" ht="28.5" customHeight="1" x14ac:dyDescent="0.25">
      <c r="A1" s="2"/>
      <c r="B1" s="2"/>
      <c r="C1" s="2"/>
      <c r="D1" s="2"/>
      <c r="E1" s="3"/>
      <c r="F1" s="4" t="s">
        <v>0</v>
      </c>
      <c r="G1" s="5">
        <f>SUM(E2:E18)</f>
        <v>152210</v>
      </c>
      <c r="H1" s="6"/>
      <c r="I1" s="7" t="s">
        <v>1</v>
      </c>
      <c r="J1" s="8">
        <f>SUM(G1:G74)</f>
        <v>722198</v>
      </c>
      <c r="K1" s="9"/>
      <c r="L1" s="10"/>
      <c r="M1" s="10"/>
      <c r="N1" s="10"/>
      <c r="O1" s="10"/>
      <c r="P1" s="10"/>
      <c r="Q1" s="10"/>
      <c r="R1" s="10"/>
      <c r="S1" s="10"/>
      <c r="T1" s="10"/>
      <c r="U1" s="10"/>
      <c r="V1" s="10"/>
      <c r="W1" s="10"/>
      <c r="X1" s="10"/>
      <c r="Y1" s="10"/>
      <c r="Z1" s="10"/>
      <c r="AA1" s="10"/>
      <c r="AB1" s="10"/>
      <c r="AC1" s="10"/>
      <c r="AD1" s="10"/>
      <c r="AE1" s="10"/>
      <c r="AF1" s="10"/>
      <c r="AG1" s="10"/>
      <c r="AH1" s="10"/>
      <c r="AI1" s="10"/>
      <c r="AJ1" s="10"/>
      <c r="AK1" s="10"/>
      <c r="AL1" s="10"/>
      <c r="AM1" s="10"/>
      <c r="AN1" s="10"/>
      <c r="AO1" s="10"/>
      <c r="AP1" s="10"/>
      <c r="AQ1" s="10"/>
    </row>
    <row r="2" spans="1:43" ht="28.5" customHeight="1" x14ac:dyDescent="0.25">
      <c r="A2" s="11">
        <v>1</v>
      </c>
      <c r="B2" s="12" t="s">
        <v>2</v>
      </c>
      <c r="C2" s="13">
        <v>1</v>
      </c>
      <c r="D2" s="14">
        <v>1495</v>
      </c>
      <c r="E2" s="14">
        <f t="shared" ref="E2:E18" si="0">C2*D2</f>
        <v>1495</v>
      </c>
      <c r="F2" s="15"/>
      <c r="G2" s="16"/>
      <c r="H2" s="10"/>
      <c r="I2" s="17" t="s">
        <v>3</v>
      </c>
      <c r="J2" s="18">
        <v>700000</v>
      </c>
      <c r="K2" s="10"/>
      <c r="L2" s="10"/>
      <c r="M2" s="10"/>
      <c r="N2" s="10"/>
      <c r="O2" s="10"/>
      <c r="P2" s="10"/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  <c r="AD2" s="10"/>
      <c r="AE2" s="10"/>
      <c r="AF2" s="10"/>
      <c r="AG2" s="10"/>
      <c r="AH2" s="10"/>
      <c r="AI2" s="10"/>
      <c r="AJ2" s="10"/>
      <c r="AK2" s="10"/>
      <c r="AL2" s="10"/>
      <c r="AM2" s="10"/>
      <c r="AN2" s="10"/>
      <c r="AO2" s="10"/>
      <c r="AP2" s="10"/>
      <c r="AQ2" s="10"/>
    </row>
    <row r="3" spans="1:43" ht="28.5" customHeight="1" x14ac:dyDescent="0.25">
      <c r="A3" s="11">
        <v>2</v>
      </c>
      <c r="B3" s="12" t="s">
        <v>4</v>
      </c>
      <c r="C3" s="13">
        <v>2</v>
      </c>
      <c r="D3" s="14">
        <v>1395</v>
      </c>
      <c r="E3" s="14">
        <f t="shared" si="0"/>
        <v>2790</v>
      </c>
      <c r="F3" s="9"/>
      <c r="G3" s="10"/>
      <c r="H3" s="19"/>
      <c r="I3" s="20" t="s">
        <v>5</v>
      </c>
      <c r="J3" s="21">
        <f>J2-J1</f>
        <v>-22198</v>
      </c>
      <c r="K3" s="9"/>
      <c r="L3" s="10"/>
      <c r="M3" s="10"/>
      <c r="N3" s="10"/>
      <c r="O3" s="10"/>
      <c r="P3" s="10"/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  <c r="AD3" s="10"/>
      <c r="AE3" s="10"/>
      <c r="AF3" s="10"/>
      <c r="AG3" s="10"/>
      <c r="AH3" s="10"/>
      <c r="AI3" s="10"/>
      <c r="AJ3" s="10"/>
      <c r="AK3" s="10"/>
      <c r="AL3" s="10"/>
      <c r="AM3" s="10"/>
      <c r="AN3" s="10"/>
      <c r="AO3" s="10"/>
      <c r="AP3" s="10"/>
      <c r="AQ3" s="10"/>
    </row>
    <row r="4" spans="1:43" ht="28.5" customHeight="1" x14ac:dyDescent="0.25">
      <c r="A4" s="11">
        <v>3</v>
      </c>
      <c r="B4" s="12" t="s">
        <v>6</v>
      </c>
      <c r="C4" s="13">
        <v>10</v>
      </c>
      <c r="D4" s="13">
        <v>995</v>
      </c>
      <c r="E4" s="13">
        <f t="shared" si="0"/>
        <v>9950</v>
      </c>
      <c r="F4" s="9"/>
      <c r="G4" s="10"/>
      <c r="H4" s="10"/>
      <c r="I4" s="16"/>
      <c r="J4" s="16"/>
      <c r="K4" s="10"/>
      <c r="L4" s="10"/>
      <c r="M4" s="10"/>
      <c r="N4" s="10"/>
      <c r="O4" s="10"/>
      <c r="P4" s="10"/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  <c r="AD4" s="10"/>
      <c r="AE4" s="10"/>
      <c r="AF4" s="10"/>
      <c r="AG4" s="10"/>
      <c r="AH4" s="10"/>
      <c r="AI4" s="10"/>
      <c r="AJ4" s="10"/>
      <c r="AK4" s="10"/>
      <c r="AL4" s="10"/>
      <c r="AM4" s="10"/>
      <c r="AN4" s="10"/>
      <c r="AO4" s="10"/>
      <c r="AP4" s="10"/>
      <c r="AQ4" s="10"/>
    </row>
    <row r="5" spans="1:43" ht="28.5" customHeight="1" x14ac:dyDescent="0.25">
      <c r="A5" s="11">
        <v>4</v>
      </c>
      <c r="B5" s="12" t="s">
        <v>7</v>
      </c>
      <c r="C5" s="13">
        <v>5</v>
      </c>
      <c r="D5" s="14">
        <v>1395</v>
      </c>
      <c r="E5" s="14">
        <f t="shared" si="0"/>
        <v>6975</v>
      </c>
      <c r="F5" s="9"/>
      <c r="G5" s="10"/>
      <c r="H5" s="10"/>
      <c r="I5" s="10"/>
      <c r="J5" s="10"/>
      <c r="K5" s="10"/>
      <c r="L5" s="10"/>
      <c r="M5" s="10"/>
      <c r="N5" s="10"/>
      <c r="O5" s="10"/>
      <c r="P5" s="10"/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  <c r="AD5" s="10"/>
      <c r="AE5" s="10"/>
      <c r="AF5" s="10"/>
      <c r="AG5" s="10"/>
      <c r="AH5" s="10"/>
      <c r="AI5" s="10"/>
      <c r="AJ5" s="10"/>
      <c r="AK5" s="10"/>
      <c r="AL5" s="10"/>
      <c r="AM5" s="10"/>
      <c r="AN5" s="10"/>
      <c r="AO5" s="10"/>
      <c r="AP5" s="10"/>
      <c r="AQ5" s="10"/>
    </row>
    <row r="6" spans="1:43" ht="28.5" customHeight="1" x14ac:dyDescent="0.25">
      <c r="A6" s="11">
        <v>5</v>
      </c>
      <c r="B6" s="12" t="s">
        <v>8</v>
      </c>
      <c r="C6" s="13">
        <v>5</v>
      </c>
      <c r="D6" s="14">
        <v>1395</v>
      </c>
      <c r="E6" s="14">
        <f t="shared" si="0"/>
        <v>6975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 spans="1:43" ht="28.5" customHeight="1" x14ac:dyDescent="0.25">
      <c r="A7" s="11">
        <v>6</v>
      </c>
      <c r="B7" s="12" t="s">
        <v>9</v>
      </c>
      <c r="C7" s="13">
        <v>5</v>
      </c>
      <c r="D7" s="14">
        <v>795</v>
      </c>
      <c r="E7" s="14">
        <f t="shared" si="0"/>
        <v>3975</v>
      </c>
      <c r="F7" s="9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</row>
    <row r="8" spans="1:43" ht="28.5" customHeight="1" x14ac:dyDescent="0.25">
      <c r="A8" s="11">
        <v>7</v>
      </c>
      <c r="B8" s="12" t="s">
        <v>10</v>
      </c>
      <c r="C8" s="13">
        <v>10</v>
      </c>
      <c r="D8" s="14">
        <v>1045</v>
      </c>
      <c r="E8" s="14">
        <f t="shared" si="0"/>
        <v>10450</v>
      </c>
      <c r="F8" s="9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</row>
    <row r="9" spans="1:43" ht="28.5" customHeight="1" x14ac:dyDescent="0.25">
      <c r="A9" s="11">
        <v>8</v>
      </c>
      <c r="B9" s="12" t="s">
        <v>11</v>
      </c>
      <c r="C9" s="13">
        <v>10</v>
      </c>
      <c r="D9" s="14">
        <v>1295</v>
      </c>
      <c r="E9" s="14">
        <f t="shared" si="0"/>
        <v>12950</v>
      </c>
      <c r="F9" s="9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</row>
    <row r="10" spans="1:43" ht="28.5" customHeight="1" x14ac:dyDescent="0.25">
      <c r="A10" s="11">
        <v>9</v>
      </c>
      <c r="B10" s="12" t="s">
        <v>12</v>
      </c>
      <c r="C10" s="13">
        <v>10</v>
      </c>
      <c r="D10" s="14">
        <v>1245</v>
      </c>
      <c r="E10" s="14">
        <f t="shared" si="0"/>
        <v>12450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8.5" customHeight="1" x14ac:dyDescent="0.25">
      <c r="A11" s="11">
        <v>10</v>
      </c>
      <c r="B11" s="12" t="s">
        <v>13</v>
      </c>
      <c r="C11" s="13">
        <v>1</v>
      </c>
      <c r="D11" s="14">
        <v>2295</v>
      </c>
      <c r="E11" s="14">
        <f t="shared" si="0"/>
        <v>2295</v>
      </c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spans="1:43" ht="28.5" customHeight="1" x14ac:dyDescent="0.25">
      <c r="A12" s="11">
        <v>11</v>
      </c>
      <c r="B12" s="12" t="s">
        <v>14</v>
      </c>
      <c r="C12" s="13">
        <v>2</v>
      </c>
      <c r="D12" s="14">
        <v>2195</v>
      </c>
      <c r="E12" s="14">
        <f t="shared" si="0"/>
        <v>4390</v>
      </c>
      <c r="F12" s="9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</row>
    <row r="13" spans="1:43" ht="28.5" customHeight="1" x14ac:dyDescent="0.25">
      <c r="A13" s="11">
        <v>12</v>
      </c>
      <c r="B13" s="12" t="s">
        <v>15</v>
      </c>
      <c r="C13" s="13">
        <v>1</v>
      </c>
      <c r="D13" s="14">
        <v>2595</v>
      </c>
      <c r="E13" s="14">
        <f t="shared" si="0"/>
        <v>2595</v>
      </c>
      <c r="F13" s="9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</row>
    <row r="14" spans="1:43" ht="28.5" customHeight="1" x14ac:dyDescent="0.25">
      <c r="A14" s="11">
        <v>13</v>
      </c>
      <c r="B14" s="12" t="s">
        <v>16</v>
      </c>
      <c r="C14" s="13">
        <v>4</v>
      </c>
      <c r="D14" s="14">
        <v>3895</v>
      </c>
      <c r="E14" s="14">
        <f t="shared" si="0"/>
        <v>15580</v>
      </c>
      <c r="F14" s="9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</row>
    <row r="15" spans="1:43" ht="28.5" customHeight="1" x14ac:dyDescent="0.25">
      <c r="A15" s="11">
        <v>14</v>
      </c>
      <c r="B15" s="12" t="s">
        <v>17</v>
      </c>
      <c r="C15" s="13">
        <v>3</v>
      </c>
      <c r="D15" s="14">
        <v>5295</v>
      </c>
      <c r="E15" s="14">
        <f t="shared" si="0"/>
        <v>15885</v>
      </c>
      <c r="F15" s="9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</row>
    <row r="16" spans="1:43" ht="28.5" customHeight="1" x14ac:dyDescent="0.25">
      <c r="A16" s="11">
        <v>15</v>
      </c>
      <c r="B16" s="12" t="s">
        <v>18</v>
      </c>
      <c r="C16" s="13">
        <v>1</v>
      </c>
      <c r="D16" s="14">
        <v>2745</v>
      </c>
      <c r="E16" s="14">
        <f t="shared" si="0"/>
        <v>2745</v>
      </c>
      <c r="F16" s="9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</row>
    <row r="17" spans="1:43" ht="28.5" customHeight="1" x14ac:dyDescent="0.25">
      <c r="A17" s="11">
        <v>16</v>
      </c>
      <c r="B17" s="12" t="s">
        <v>19</v>
      </c>
      <c r="C17" s="13">
        <v>5</v>
      </c>
      <c r="D17" s="14">
        <v>4245</v>
      </c>
      <c r="E17" s="14">
        <f t="shared" si="0"/>
        <v>21225</v>
      </c>
      <c r="F17" s="9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</row>
    <row r="18" spans="1:43" ht="28.5" customHeight="1" x14ac:dyDescent="0.25">
      <c r="A18" s="11">
        <v>17</v>
      </c>
      <c r="B18" s="12" t="s">
        <v>20</v>
      </c>
      <c r="C18" s="13">
        <v>3</v>
      </c>
      <c r="D18" s="14">
        <v>6495</v>
      </c>
      <c r="E18" s="14">
        <f t="shared" si="0"/>
        <v>19485</v>
      </c>
      <c r="F18" s="22"/>
      <c r="G18" s="2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</row>
    <row r="19" spans="1:43" ht="28.5" customHeight="1" x14ac:dyDescent="0.25">
      <c r="A19" s="23"/>
      <c r="B19" s="23"/>
      <c r="C19" s="23"/>
      <c r="D19" s="24"/>
      <c r="E19" s="25"/>
      <c r="F19" s="26" t="s">
        <v>0</v>
      </c>
      <c r="G19" s="27">
        <f>SUM(E20:E37)</f>
        <v>143663</v>
      </c>
      <c r="H19" s="9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</row>
    <row r="20" spans="1:43" ht="28.5" customHeight="1" x14ac:dyDescent="0.25">
      <c r="A20" s="28">
        <v>18</v>
      </c>
      <c r="B20" s="29" t="s">
        <v>21</v>
      </c>
      <c r="C20" s="30">
        <v>3</v>
      </c>
      <c r="D20" s="31">
        <v>4300</v>
      </c>
      <c r="E20" s="31">
        <f t="shared" ref="E20:E37" si="1">C20*D20</f>
        <v>12900</v>
      </c>
      <c r="F20" s="32"/>
      <c r="G20" s="33"/>
      <c r="H20" s="34"/>
      <c r="I20" s="34"/>
      <c r="J20" s="34"/>
      <c r="K20" s="34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</row>
    <row r="21" spans="1:43" ht="28.5" customHeight="1" x14ac:dyDescent="0.25">
      <c r="A21" s="28">
        <v>19</v>
      </c>
      <c r="B21" s="29" t="s">
        <v>22</v>
      </c>
      <c r="C21" s="30">
        <v>2</v>
      </c>
      <c r="D21" s="31">
        <v>4700</v>
      </c>
      <c r="E21" s="31">
        <f t="shared" si="1"/>
        <v>9400</v>
      </c>
      <c r="F21" s="35"/>
      <c r="G21" s="36"/>
      <c r="H21" s="34"/>
      <c r="I21" s="34"/>
      <c r="J21" s="34"/>
      <c r="K21" s="34"/>
      <c r="L21" s="37"/>
      <c r="M21" s="37"/>
      <c r="N21" s="37"/>
      <c r="O21" s="37"/>
      <c r="P21" s="37"/>
      <c r="Q21" s="37"/>
      <c r="R21" s="37"/>
      <c r="S21" s="37"/>
      <c r="T21" s="37"/>
      <c r="U21" s="37"/>
      <c r="V21" s="37"/>
      <c r="W21" s="37"/>
      <c r="X21" s="37"/>
      <c r="Y21" s="37"/>
      <c r="Z21" s="37"/>
      <c r="AA21" s="37"/>
      <c r="AB21" s="37"/>
      <c r="AC21" s="37"/>
      <c r="AD21" s="37"/>
      <c r="AE21" s="37"/>
      <c r="AF21" s="37"/>
      <c r="AG21" s="37"/>
      <c r="AH21" s="37"/>
      <c r="AI21" s="37"/>
      <c r="AJ21" s="37"/>
      <c r="AK21" s="37"/>
      <c r="AL21" s="37"/>
      <c r="AM21" s="37"/>
      <c r="AN21" s="37"/>
      <c r="AO21" s="37"/>
      <c r="AP21" s="37"/>
      <c r="AQ21" s="37"/>
    </row>
    <row r="22" spans="1:43" ht="28.5" customHeight="1" x14ac:dyDescent="0.25">
      <c r="A22" s="28">
        <v>20</v>
      </c>
      <c r="B22" s="29" t="s">
        <v>23</v>
      </c>
      <c r="C22" s="30">
        <v>5</v>
      </c>
      <c r="D22" s="31">
        <v>3500</v>
      </c>
      <c r="E22" s="31">
        <f t="shared" si="1"/>
        <v>17500</v>
      </c>
      <c r="F22" s="35"/>
      <c r="G22" s="36"/>
      <c r="H22" s="34"/>
      <c r="I22" s="34"/>
      <c r="J22" s="34"/>
      <c r="K22" s="34"/>
      <c r="L22" s="37"/>
      <c r="M22" s="37"/>
      <c r="N22" s="37"/>
      <c r="O22" s="37"/>
      <c r="P22" s="37"/>
      <c r="Q22" s="37"/>
      <c r="R22" s="37"/>
      <c r="S22" s="37"/>
      <c r="T22" s="37"/>
      <c r="U22" s="37"/>
      <c r="V22" s="37"/>
      <c r="W22" s="37"/>
      <c r="X22" s="37"/>
      <c r="Y22" s="37"/>
      <c r="Z22" s="37"/>
      <c r="AA22" s="37"/>
      <c r="AB22" s="37"/>
      <c r="AC22" s="37"/>
      <c r="AD22" s="37"/>
      <c r="AE22" s="37"/>
      <c r="AF22" s="37"/>
      <c r="AG22" s="37"/>
      <c r="AH22" s="37"/>
      <c r="AI22" s="37"/>
      <c r="AJ22" s="37"/>
      <c r="AK22" s="37"/>
      <c r="AL22" s="37"/>
      <c r="AM22" s="37"/>
      <c r="AN22" s="37"/>
      <c r="AO22" s="37"/>
      <c r="AP22" s="37"/>
      <c r="AQ22" s="37"/>
    </row>
    <row r="23" spans="1:43" ht="28.5" customHeight="1" x14ac:dyDescent="0.25">
      <c r="A23" s="28">
        <v>21</v>
      </c>
      <c r="B23" s="29" t="s">
        <v>24</v>
      </c>
      <c r="C23" s="30">
        <v>1</v>
      </c>
      <c r="D23" s="31">
        <v>3500</v>
      </c>
      <c r="E23" s="31">
        <f t="shared" si="1"/>
        <v>3500</v>
      </c>
      <c r="F23" s="35"/>
      <c r="G23" s="36"/>
      <c r="H23" s="34"/>
      <c r="I23" s="34"/>
      <c r="J23" s="34"/>
      <c r="K23" s="34"/>
      <c r="L23" s="37"/>
      <c r="M23" s="37"/>
      <c r="N23" s="37"/>
      <c r="O23" s="37"/>
      <c r="P23" s="37"/>
      <c r="Q23" s="37"/>
      <c r="R23" s="37"/>
      <c r="S23" s="37"/>
      <c r="T23" s="37"/>
      <c r="U23" s="37"/>
      <c r="V23" s="37"/>
      <c r="W23" s="37"/>
      <c r="X23" s="37"/>
      <c r="Y23" s="37"/>
      <c r="Z23" s="37"/>
      <c r="AA23" s="37"/>
      <c r="AB23" s="37"/>
      <c r="AC23" s="37"/>
      <c r="AD23" s="37"/>
      <c r="AE23" s="37"/>
      <c r="AF23" s="37"/>
      <c r="AG23" s="37"/>
      <c r="AH23" s="37"/>
      <c r="AI23" s="37"/>
      <c r="AJ23" s="37"/>
      <c r="AK23" s="37"/>
      <c r="AL23" s="37"/>
      <c r="AM23" s="37"/>
      <c r="AN23" s="37"/>
      <c r="AO23" s="37"/>
      <c r="AP23" s="37"/>
      <c r="AQ23" s="37"/>
    </row>
    <row r="24" spans="1:43" ht="28.5" customHeight="1" x14ac:dyDescent="0.25">
      <c r="A24" s="28">
        <v>22</v>
      </c>
      <c r="B24" s="29" t="s">
        <v>25</v>
      </c>
      <c r="C24" s="30">
        <v>1</v>
      </c>
      <c r="D24" s="31">
        <v>5300</v>
      </c>
      <c r="E24" s="31">
        <f t="shared" si="1"/>
        <v>5300</v>
      </c>
      <c r="F24" s="35"/>
      <c r="G24" s="36"/>
      <c r="H24" s="34"/>
      <c r="I24" s="34"/>
      <c r="J24" s="34"/>
      <c r="K24" s="34"/>
      <c r="L24" s="37"/>
      <c r="M24" s="37"/>
      <c r="N24" s="37"/>
      <c r="O24" s="37"/>
      <c r="P24" s="37"/>
      <c r="Q24" s="37"/>
      <c r="R24" s="37"/>
      <c r="S24" s="37"/>
      <c r="T24" s="37"/>
      <c r="U24" s="37"/>
      <c r="V24" s="37"/>
      <c r="W24" s="37"/>
      <c r="X24" s="37"/>
      <c r="Y24" s="37"/>
      <c r="Z24" s="37"/>
      <c r="AA24" s="37"/>
      <c r="AB24" s="37"/>
      <c r="AC24" s="37"/>
      <c r="AD24" s="37"/>
      <c r="AE24" s="37"/>
      <c r="AF24" s="37"/>
      <c r="AG24" s="37"/>
      <c r="AH24" s="37"/>
      <c r="AI24" s="37"/>
      <c r="AJ24" s="37"/>
      <c r="AK24" s="37"/>
      <c r="AL24" s="37"/>
      <c r="AM24" s="37"/>
      <c r="AN24" s="37"/>
      <c r="AO24" s="37"/>
      <c r="AP24" s="37"/>
      <c r="AQ24" s="37"/>
    </row>
    <row r="25" spans="1:43" ht="28.5" customHeight="1" x14ac:dyDescent="0.25">
      <c r="A25" s="28">
        <v>23</v>
      </c>
      <c r="B25" s="29" t="s">
        <v>26</v>
      </c>
      <c r="C25" s="30">
        <v>1</v>
      </c>
      <c r="D25" s="31">
        <v>7145</v>
      </c>
      <c r="E25" s="31">
        <f t="shared" si="1"/>
        <v>7145</v>
      </c>
      <c r="F25" s="35"/>
      <c r="G25" s="36"/>
      <c r="H25" s="34"/>
      <c r="I25" s="34"/>
      <c r="J25" s="34"/>
      <c r="K25" s="34"/>
      <c r="L25" s="37"/>
      <c r="M25" s="37"/>
      <c r="N25" s="37"/>
      <c r="O25" s="37"/>
      <c r="P25" s="37"/>
      <c r="Q25" s="37"/>
      <c r="R25" s="37"/>
      <c r="S25" s="37"/>
      <c r="T25" s="37"/>
      <c r="U25" s="37"/>
      <c r="V25" s="37"/>
      <c r="W25" s="37"/>
      <c r="X25" s="37"/>
      <c r="Y25" s="37"/>
      <c r="Z25" s="37"/>
      <c r="AA25" s="37"/>
      <c r="AB25" s="37"/>
      <c r="AC25" s="37"/>
      <c r="AD25" s="37"/>
      <c r="AE25" s="37"/>
      <c r="AF25" s="37"/>
      <c r="AG25" s="37"/>
      <c r="AH25" s="37"/>
      <c r="AI25" s="37"/>
      <c r="AJ25" s="37"/>
      <c r="AK25" s="37"/>
      <c r="AL25" s="37"/>
      <c r="AM25" s="37"/>
      <c r="AN25" s="37"/>
      <c r="AO25" s="37"/>
      <c r="AP25" s="37"/>
      <c r="AQ25" s="37"/>
    </row>
    <row r="26" spans="1:43" ht="28.5" customHeight="1" x14ac:dyDescent="0.25">
      <c r="A26" s="28">
        <v>24</v>
      </c>
      <c r="B26" s="29" t="s">
        <v>27</v>
      </c>
      <c r="C26" s="30">
        <v>1</v>
      </c>
      <c r="D26" s="31">
        <v>3495</v>
      </c>
      <c r="E26" s="31">
        <f t="shared" si="1"/>
        <v>3495</v>
      </c>
      <c r="F26" s="35"/>
      <c r="G26" s="36"/>
      <c r="H26" s="34"/>
      <c r="I26" s="34"/>
      <c r="J26" s="34"/>
      <c r="K26" s="34"/>
      <c r="L26" s="37"/>
      <c r="M26" s="37"/>
      <c r="N26" s="37"/>
      <c r="O26" s="37"/>
      <c r="P26" s="37"/>
      <c r="Q26" s="37"/>
      <c r="R26" s="37"/>
      <c r="S26" s="37"/>
      <c r="T26" s="37"/>
      <c r="U26" s="37"/>
      <c r="V26" s="37"/>
      <c r="W26" s="37"/>
      <c r="X26" s="37"/>
      <c r="Y26" s="37"/>
      <c r="Z26" s="37"/>
      <c r="AA26" s="37"/>
      <c r="AB26" s="37"/>
      <c r="AC26" s="37"/>
      <c r="AD26" s="37"/>
      <c r="AE26" s="37"/>
      <c r="AF26" s="37"/>
      <c r="AG26" s="37"/>
      <c r="AH26" s="37"/>
      <c r="AI26" s="37"/>
      <c r="AJ26" s="37"/>
      <c r="AK26" s="37"/>
      <c r="AL26" s="37"/>
      <c r="AM26" s="37"/>
      <c r="AN26" s="37"/>
      <c r="AO26" s="37"/>
      <c r="AP26" s="37"/>
      <c r="AQ26" s="37"/>
    </row>
    <row r="27" spans="1:43" ht="28.5" customHeight="1" x14ac:dyDescent="0.25">
      <c r="A27" s="28">
        <v>25</v>
      </c>
      <c r="B27" s="29" t="s">
        <v>28</v>
      </c>
      <c r="C27" s="30">
        <v>1</v>
      </c>
      <c r="D27" s="31">
        <v>1645</v>
      </c>
      <c r="E27" s="31">
        <f t="shared" si="1"/>
        <v>1645</v>
      </c>
      <c r="F27" s="35"/>
      <c r="G27" s="36"/>
      <c r="H27" s="34"/>
      <c r="I27" s="34"/>
      <c r="J27" s="34"/>
      <c r="K27" s="34"/>
      <c r="L27" s="37"/>
      <c r="M27" s="37"/>
      <c r="N27" s="37"/>
      <c r="O27" s="37"/>
      <c r="P27" s="37"/>
      <c r="Q27" s="37"/>
      <c r="R27" s="37"/>
      <c r="S27" s="37"/>
      <c r="T27" s="37"/>
      <c r="U27" s="37"/>
      <c r="V27" s="37"/>
      <c r="W27" s="37"/>
      <c r="X27" s="37"/>
      <c r="Y27" s="37"/>
      <c r="Z27" s="37"/>
      <c r="AA27" s="37"/>
      <c r="AB27" s="37"/>
      <c r="AC27" s="37"/>
      <c r="AD27" s="37"/>
      <c r="AE27" s="37"/>
      <c r="AF27" s="37"/>
      <c r="AG27" s="37"/>
      <c r="AH27" s="37"/>
      <c r="AI27" s="37"/>
      <c r="AJ27" s="37"/>
      <c r="AK27" s="37"/>
      <c r="AL27" s="37"/>
      <c r="AM27" s="37"/>
      <c r="AN27" s="37"/>
      <c r="AO27" s="37"/>
      <c r="AP27" s="37"/>
      <c r="AQ27" s="37"/>
    </row>
    <row r="28" spans="1:43" ht="28.5" customHeight="1" x14ac:dyDescent="0.25">
      <c r="A28" s="28">
        <v>26</v>
      </c>
      <c r="B28" s="29" t="s">
        <v>29</v>
      </c>
      <c r="C28" s="30">
        <v>1</v>
      </c>
      <c r="D28" s="31">
        <v>2995</v>
      </c>
      <c r="E28" s="31">
        <f t="shared" si="1"/>
        <v>2995</v>
      </c>
      <c r="F28" s="35"/>
      <c r="G28" s="36"/>
      <c r="H28" s="34"/>
      <c r="I28" s="34"/>
      <c r="J28" s="34"/>
      <c r="K28" s="34"/>
      <c r="L28" s="37"/>
      <c r="M28" s="37"/>
      <c r="N28" s="37"/>
      <c r="O28" s="37"/>
      <c r="P28" s="37"/>
      <c r="Q28" s="37"/>
      <c r="R28" s="37"/>
      <c r="S28" s="37"/>
      <c r="T28" s="37"/>
      <c r="U28" s="37"/>
      <c r="V28" s="37"/>
      <c r="W28" s="37"/>
      <c r="X28" s="37"/>
      <c r="Y28" s="37"/>
      <c r="Z28" s="37"/>
      <c r="AA28" s="37"/>
      <c r="AB28" s="37"/>
      <c r="AC28" s="37"/>
      <c r="AD28" s="37"/>
      <c r="AE28" s="37"/>
      <c r="AF28" s="37"/>
      <c r="AG28" s="37"/>
      <c r="AH28" s="37"/>
      <c r="AI28" s="37"/>
      <c r="AJ28" s="37"/>
      <c r="AK28" s="37"/>
      <c r="AL28" s="37"/>
      <c r="AM28" s="37"/>
      <c r="AN28" s="37"/>
      <c r="AO28" s="37"/>
      <c r="AP28" s="37"/>
      <c r="AQ28" s="37"/>
    </row>
    <row r="29" spans="1:43" ht="28.5" customHeight="1" x14ac:dyDescent="0.25">
      <c r="A29" s="28">
        <v>27</v>
      </c>
      <c r="B29" s="29" t="s">
        <v>30</v>
      </c>
      <c r="C29" s="30">
        <v>1</v>
      </c>
      <c r="D29" s="31">
        <v>4800</v>
      </c>
      <c r="E29" s="31">
        <f t="shared" si="1"/>
        <v>4800</v>
      </c>
      <c r="F29" s="35"/>
      <c r="G29" s="36"/>
      <c r="H29" s="34"/>
      <c r="I29" s="34"/>
      <c r="J29" s="34"/>
      <c r="K29" s="34"/>
      <c r="L29" s="37"/>
      <c r="M29" s="37"/>
      <c r="N29" s="37"/>
      <c r="O29" s="37"/>
      <c r="P29" s="37"/>
      <c r="Q29" s="37"/>
      <c r="R29" s="37"/>
      <c r="S29" s="37"/>
      <c r="T29" s="37"/>
      <c r="U29" s="37"/>
      <c r="V29" s="37"/>
      <c r="W29" s="37"/>
      <c r="X29" s="37"/>
      <c r="Y29" s="37"/>
      <c r="Z29" s="37"/>
      <c r="AA29" s="37"/>
      <c r="AB29" s="37"/>
      <c r="AC29" s="37"/>
      <c r="AD29" s="37"/>
      <c r="AE29" s="37"/>
      <c r="AF29" s="37"/>
      <c r="AG29" s="37"/>
      <c r="AH29" s="37"/>
      <c r="AI29" s="37"/>
      <c r="AJ29" s="37"/>
      <c r="AK29" s="37"/>
      <c r="AL29" s="37"/>
      <c r="AM29" s="37"/>
      <c r="AN29" s="37"/>
      <c r="AO29" s="37"/>
      <c r="AP29" s="37"/>
      <c r="AQ29" s="37"/>
    </row>
    <row r="30" spans="1:43" ht="28.5" customHeight="1" x14ac:dyDescent="0.25">
      <c r="A30" s="28">
        <v>28</v>
      </c>
      <c r="B30" s="29" t="s">
        <v>31</v>
      </c>
      <c r="C30" s="30">
        <v>1</v>
      </c>
      <c r="D30" s="31">
        <v>3995</v>
      </c>
      <c r="E30" s="31">
        <f t="shared" si="1"/>
        <v>3995</v>
      </c>
      <c r="F30" s="35"/>
      <c r="G30" s="36"/>
      <c r="H30" s="34"/>
      <c r="I30" s="34"/>
      <c r="J30" s="34"/>
      <c r="K30" s="34"/>
      <c r="L30" s="37"/>
      <c r="M30" s="37"/>
      <c r="N30" s="37"/>
      <c r="O30" s="37"/>
      <c r="P30" s="37"/>
      <c r="Q30" s="37"/>
      <c r="R30" s="37"/>
      <c r="S30" s="37"/>
      <c r="T30" s="37"/>
      <c r="U30" s="37"/>
      <c r="V30" s="37"/>
      <c r="W30" s="37"/>
      <c r="X30" s="37"/>
      <c r="Y30" s="37"/>
      <c r="Z30" s="37"/>
      <c r="AA30" s="37"/>
      <c r="AB30" s="37"/>
      <c r="AC30" s="37"/>
      <c r="AD30" s="37"/>
      <c r="AE30" s="37"/>
      <c r="AF30" s="37"/>
      <c r="AG30" s="37"/>
      <c r="AH30" s="37"/>
      <c r="AI30" s="37"/>
      <c r="AJ30" s="37"/>
      <c r="AK30" s="37"/>
      <c r="AL30" s="37"/>
      <c r="AM30" s="37"/>
      <c r="AN30" s="37"/>
      <c r="AO30" s="37"/>
      <c r="AP30" s="37"/>
      <c r="AQ30" s="37"/>
    </row>
    <row r="31" spans="1:43" ht="28.5" customHeight="1" x14ac:dyDescent="0.25">
      <c r="A31" s="28">
        <v>29</v>
      </c>
      <c r="B31" s="29" t="s">
        <v>32</v>
      </c>
      <c r="C31" s="30">
        <v>1</v>
      </c>
      <c r="D31" s="31">
        <v>8095</v>
      </c>
      <c r="E31" s="31">
        <f t="shared" si="1"/>
        <v>8095</v>
      </c>
      <c r="F31" s="35"/>
      <c r="G31" s="36"/>
      <c r="H31" s="34"/>
      <c r="I31" s="34"/>
      <c r="J31" s="34"/>
      <c r="K31" s="34"/>
      <c r="L31" s="37"/>
      <c r="M31" s="37"/>
      <c r="N31" s="37"/>
      <c r="O31" s="37"/>
      <c r="P31" s="37"/>
      <c r="Q31" s="37"/>
      <c r="R31" s="37"/>
      <c r="S31" s="37"/>
      <c r="T31" s="37"/>
      <c r="U31" s="37"/>
      <c r="V31" s="37"/>
      <c r="W31" s="37"/>
      <c r="X31" s="37"/>
      <c r="Y31" s="37"/>
      <c r="Z31" s="37"/>
      <c r="AA31" s="37"/>
      <c r="AB31" s="37"/>
      <c r="AC31" s="37"/>
      <c r="AD31" s="37"/>
      <c r="AE31" s="37"/>
      <c r="AF31" s="37"/>
      <c r="AG31" s="37"/>
      <c r="AH31" s="37"/>
      <c r="AI31" s="37"/>
      <c r="AJ31" s="37"/>
      <c r="AK31" s="37"/>
      <c r="AL31" s="37"/>
      <c r="AM31" s="37"/>
      <c r="AN31" s="37"/>
      <c r="AO31" s="37"/>
      <c r="AP31" s="37"/>
      <c r="AQ31" s="37"/>
    </row>
    <row r="32" spans="1:43" ht="28.5" customHeight="1" x14ac:dyDescent="0.25">
      <c r="A32" s="28">
        <v>30</v>
      </c>
      <c r="B32" s="29" t="s">
        <v>33</v>
      </c>
      <c r="C32" s="30">
        <v>1</v>
      </c>
      <c r="D32" s="31">
        <v>2300</v>
      </c>
      <c r="E32" s="31">
        <f t="shared" si="1"/>
        <v>2300</v>
      </c>
      <c r="F32" s="35"/>
      <c r="G32" s="36"/>
      <c r="H32" s="34"/>
      <c r="I32" s="34"/>
      <c r="J32" s="34"/>
      <c r="K32" s="34"/>
      <c r="L32" s="37"/>
      <c r="M32" s="37"/>
      <c r="N32" s="37"/>
      <c r="O32" s="37"/>
      <c r="P32" s="37"/>
      <c r="Q32" s="37"/>
      <c r="R32" s="37"/>
      <c r="S32" s="37"/>
      <c r="T32" s="37"/>
      <c r="U32" s="37"/>
      <c r="V32" s="37"/>
      <c r="W32" s="37"/>
      <c r="X32" s="37"/>
      <c r="Y32" s="37"/>
      <c r="Z32" s="37"/>
      <c r="AA32" s="37"/>
      <c r="AB32" s="37"/>
      <c r="AC32" s="37"/>
      <c r="AD32" s="37"/>
      <c r="AE32" s="37"/>
      <c r="AF32" s="37"/>
      <c r="AG32" s="37"/>
      <c r="AH32" s="37"/>
      <c r="AI32" s="37"/>
      <c r="AJ32" s="37"/>
      <c r="AK32" s="37"/>
      <c r="AL32" s="37"/>
      <c r="AM32" s="37"/>
      <c r="AN32" s="37"/>
      <c r="AO32" s="37"/>
      <c r="AP32" s="37"/>
      <c r="AQ32" s="37"/>
    </row>
    <row r="33" spans="1:43" ht="28.5" customHeight="1" x14ac:dyDescent="0.25">
      <c r="A33" s="28">
        <v>31</v>
      </c>
      <c r="B33" s="29" t="s">
        <v>34</v>
      </c>
      <c r="C33" s="30">
        <v>1</v>
      </c>
      <c r="D33" s="31">
        <v>5394</v>
      </c>
      <c r="E33" s="31">
        <f t="shared" si="1"/>
        <v>5394</v>
      </c>
      <c r="F33" s="35"/>
      <c r="G33" s="36"/>
      <c r="H33" s="34"/>
      <c r="I33" s="34"/>
      <c r="J33" s="34"/>
      <c r="K33" s="34"/>
      <c r="L33" s="37"/>
      <c r="M33" s="37"/>
      <c r="N33" s="37"/>
      <c r="O33" s="37"/>
      <c r="P33" s="37"/>
      <c r="Q33" s="37"/>
      <c r="R33" s="37"/>
      <c r="S33" s="37"/>
      <c r="T33" s="37"/>
      <c r="U33" s="37"/>
      <c r="V33" s="37"/>
      <c r="W33" s="37"/>
      <c r="X33" s="37"/>
      <c r="Y33" s="37"/>
      <c r="Z33" s="37"/>
      <c r="AA33" s="37"/>
      <c r="AB33" s="37"/>
      <c r="AC33" s="37"/>
      <c r="AD33" s="37"/>
      <c r="AE33" s="37"/>
      <c r="AF33" s="37"/>
      <c r="AG33" s="37"/>
      <c r="AH33" s="37"/>
      <c r="AI33" s="37"/>
      <c r="AJ33" s="37"/>
      <c r="AK33" s="37"/>
      <c r="AL33" s="37"/>
      <c r="AM33" s="37"/>
      <c r="AN33" s="37"/>
      <c r="AO33" s="37"/>
      <c r="AP33" s="37"/>
      <c r="AQ33" s="37"/>
    </row>
    <row r="34" spans="1:43" ht="28.5" customHeight="1" x14ac:dyDescent="0.25">
      <c r="A34" s="28">
        <v>32</v>
      </c>
      <c r="B34" s="29" t="s">
        <v>35</v>
      </c>
      <c r="C34" s="30">
        <v>1</v>
      </c>
      <c r="D34" s="31">
        <v>5214</v>
      </c>
      <c r="E34" s="31">
        <f t="shared" si="1"/>
        <v>5214</v>
      </c>
      <c r="F34" s="35"/>
      <c r="G34" s="36"/>
      <c r="H34" s="34"/>
      <c r="I34" s="34"/>
      <c r="J34" s="34"/>
      <c r="K34" s="34"/>
      <c r="L34" s="37"/>
      <c r="M34" s="37"/>
      <c r="N34" s="37"/>
      <c r="O34" s="37"/>
      <c r="P34" s="37"/>
      <c r="Q34" s="37"/>
      <c r="R34" s="37"/>
      <c r="S34" s="37"/>
      <c r="T34" s="37"/>
      <c r="U34" s="37"/>
      <c r="V34" s="37"/>
      <c r="W34" s="37"/>
      <c r="X34" s="37"/>
      <c r="Y34" s="37"/>
      <c r="Z34" s="37"/>
      <c r="AA34" s="37"/>
      <c r="AB34" s="37"/>
      <c r="AC34" s="37"/>
      <c r="AD34" s="37"/>
      <c r="AE34" s="37"/>
      <c r="AF34" s="37"/>
      <c r="AG34" s="37"/>
      <c r="AH34" s="37"/>
      <c r="AI34" s="37"/>
      <c r="AJ34" s="37"/>
      <c r="AK34" s="37"/>
      <c r="AL34" s="37"/>
      <c r="AM34" s="37"/>
      <c r="AN34" s="37"/>
      <c r="AO34" s="37"/>
      <c r="AP34" s="37"/>
      <c r="AQ34" s="37"/>
    </row>
    <row r="35" spans="1:43" ht="28.5" customHeight="1" x14ac:dyDescent="0.25">
      <c r="A35" s="28">
        <v>33</v>
      </c>
      <c r="B35" s="29" t="s">
        <v>36</v>
      </c>
      <c r="C35" s="30">
        <v>5</v>
      </c>
      <c r="D35" s="31">
        <v>3845</v>
      </c>
      <c r="E35" s="31">
        <f t="shared" si="1"/>
        <v>19225</v>
      </c>
      <c r="F35" s="35"/>
      <c r="G35" s="36"/>
      <c r="H35" s="34"/>
      <c r="I35" s="34"/>
      <c r="J35" s="34"/>
      <c r="K35" s="34"/>
      <c r="L35" s="37"/>
      <c r="M35" s="37"/>
      <c r="N35" s="37"/>
      <c r="O35" s="37"/>
      <c r="P35" s="37"/>
      <c r="Q35" s="37"/>
      <c r="R35" s="37"/>
      <c r="S35" s="37"/>
      <c r="T35" s="37"/>
      <c r="U35" s="37"/>
      <c r="V35" s="37"/>
      <c r="W35" s="37"/>
      <c r="X35" s="37"/>
      <c r="Y35" s="37"/>
      <c r="Z35" s="37"/>
      <c r="AA35" s="37"/>
      <c r="AB35" s="37"/>
      <c r="AC35" s="37"/>
      <c r="AD35" s="37"/>
      <c r="AE35" s="37"/>
      <c r="AF35" s="37"/>
      <c r="AG35" s="37"/>
      <c r="AH35" s="37"/>
      <c r="AI35" s="37"/>
      <c r="AJ35" s="37"/>
      <c r="AK35" s="37"/>
      <c r="AL35" s="37"/>
      <c r="AM35" s="37"/>
      <c r="AN35" s="37"/>
      <c r="AO35" s="37"/>
      <c r="AP35" s="37"/>
      <c r="AQ35" s="37"/>
    </row>
    <row r="36" spans="1:43" ht="28.5" customHeight="1" x14ac:dyDescent="0.25">
      <c r="A36" s="28">
        <v>34</v>
      </c>
      <c r="B36" s="29" t="s">
        <v>37</v>
      </c>
      <c r="C36" s="30">
        <v>5</v>
      </c>
      <c r="D36" s="31">
        <v>3845</v>
      </c>
      <c r="E36" s="31">
        <f t="shared" si="1"/>
        <v>19225</v>
      </c>
      <c r="F36" s="35"/>
      <c r="G36" s="36"/>
      <c r="H36" s="34"/>
      <c r="I36" s="34"/>
      <c r="J36" s="34"/>
      <c r="K36" s="34"/>
      <c r="L36" s="37"/>
      <c r="M36" s="37"/>
      <c r="N36" s="37"/>
      <c r="O36" s="37"/>
      <c r="P36" s="37"/>
      <c r="Q36" s="37"/>
      <c r="R36" s="37"/>
      <c r="S36" s="37"/>
      <c r="T36" s="37"/>
      <c r="U36" s="37"/>
      <c r="V36" s="37"/>
      <c r="W36" s="37"/>
      <c r="X36" s="37"/>
      <c r="Y36" s="37"/>
      <c r="Z36" s="37"/>
      <c r="AA36" s="37"/>
      <c r="AB36" s="37"/>
      <c r="AC36" s="37"/>
      <c r="AD36" s="37"/>
      <c r="AE36" s="37"/>
      <c r="AF36" s="37"/>
      <c r="AG36" s="37"/>
      <c r="AH36" s="37"/>
      <c r="AI36" s="37"/>
      <c r="AJ36" s="37"/>
      <c r="AK36" s="37"/>
      <c r="AL36" s="37"/>
      <c r="AM36" s="37"/>
      <c r="AN36" s="37"/>
      <c r="AO36" s="37"/>
      <c r="AP36" s="37"/>
      <c r="AQ36" s="37"/>
    </row>
    <row r="37" spans="1:43" ht="28.5" customHeight="1" x14ac:dyDescent="0.25">
      <c r="A37" s="28">
        <v>35</v>
      </c>
      <c r="B37" s="29" t="s">
        <v>38</v>
      </c>
      <c r="C37" s="30">
        <v>3</v>
      </c>
      <c r="D37" s="31">
        <v>3845</v>
      </c>
      <c r="E37" s="31">
        <f t="shared" si="1"/>
        <v>11535</v>
      </c>
      <c r="F37" s="38"/>
      <c r="G37" s="39"/>
      <c r="H37" s="34"/>
      <c r="I37" s="34"/>
      <c r="J37" s="34"/>
      <c r="K37" s="34"/>
      <c r="L37" s="37"/>
      <c r="M37" s="37"/>
      <c r="N37" s="37"/>
      <c r="O37" s="37"/>
      <c r="P37" s="37"/>
      <c r="Q37" s="37"/>
      <c r="R37" s="37"/>
      <c r="S37" s="37"/>
      <c r="T37" s="37"/>
      <c r="U37" s="37"/>
      <c r="V37" s="37"/>
      <c r="W37" s="37"/>
      <c r="X37" s="37"/>
      <c r="Y37" s="37"/>
      <c r="Z37" s="37"/>
      <c r="AA37" s="37"/>
      <c r="AB37" s="37"/>
      <c r="AC37" s="37"/>
      <c r="AD37" s="37"/>
      <c r="AE37" s="37"/>
      <c r="AF37" s="37"/>
      <c r="AG37" s="37"/>
      <c r="AH37" s="37"/>
      <c r="AI37" s="37"/>
      <c r="AJ37" s="37"/>
      <c r="AK37" s="37"/>
      <c r="AL37" s="37"/>
      <c r="AM37" s="37"/>
      <c r="AN37" s="37"/>
      <c r="AO37" s="37"/>
      <c r="AP37" s="37"/>
      <c r="AQ37" s="37"/>
    </row>
    <row r="38" spans="1:43" ht="28.5" customHeight="1" x14ac:dyDescent="0.25">
      <c r="A38" s="23"/>
      <c r="B38" s="23"/>
      <c r="C38" s="40"/>
      <c r="D38" s="40"/>
      <c r="E38" s="41"/>
      <c r="F38" s="42" t="s">
        <v>0</v>
      </c>
      <c r="G38" s="43">
        <f>SUM(E39)</f>
        <v>25000</v>
      </c>
      <c r="H38" s="44"/>
      <c r="I38" s="37"/>
      <c r="J38" s="37"/>
      <c r="K38" s="37"/>
      <c r="L38" s="37"/>
      <c r="M38" s="37"/>
      <c r="N38" s="37"/>
      <c r="O38" s="37"/>
      <c r="P38" s="37"/>
      <c r="Q38" s="37"/>
      <c r="R38" s="37"/>
      <c r="S38" s="37"/>
      <c r="T38" s="37"/>
      <c r="U38" s="37"/>
      <c r="V38" s="37"/>
      <c r="W38" s="37"/>
      <c r="X38" s="37"/>
      <c r="Y38" s="37"/>
      <c r="Z38" s="37"/>
      <c r="AA38" s="37"/>
      <c r="AB38" s="37"/>
      <c r="AC38" s="37"/>
      <c r="AD38" s="37"/>
      <c r="AE38" s="37"/>
      <c r="AF38" s="37"/>
      <c r="AG38" s="37"/>
      <c r="AH38" s="37"/>
      <c r="AI38" s="37"/>
      <c r="AJ38" s="37"/>
      <c r="AK38" s="37"/>
      <c r="AL38" s="37"/>
      <c r="AM38" s="37"/>
      <c r="AN38" s="37"/>
      <c r="AO38" s="37"/>
      <c r="AP38" s="37"/>
      <c r="AQ38" s="37"/>
    </row>
    <row r="39" spans="1:43" ht="28.5" customHeight="1" x14ac:dyDescent="0.25">
      <c r="A39" s="45">
        <v>36</v>
      </c>
      <c r="B39" s="46" t="s">
        <v>39</v>
      </c>
      <c r="C39" s="47">
        <v>1</v>
      </c>
      <c r="D39" s="48">
        <v>25000</v>
      </c>
      <c r="E39" s="48">
        <f>C39*D39</f>
        <v>25000</v>
      </c>
      <c r="F39" s="49"/>
      <c r="G39" s="23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</row>
    <row r="40" spans="1:43" ht="28.5" customHeight="1" x14ac:dyDescent="0.25">
      <c r="A40" s="23"/>
      <c r="B40" s="23"/>
      <c r="C40" s="23"/>
      <c r="D40" s="23"/>
      <c r="E40" s="25"/>
      <c r="F40" s="50" t="s">
        <v>0</v>
      </c>
      <c r="G40" s="51">
        <f>SUM(E41:E62)</f>
        <v>286485</v>
      </c>
      <c r="H40" s="9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</row>
    <row r="41" spans="1:43" ht="28.5" customHeight="1" x14ac:dyDescent="0.25">
      <c r="A41" s="52">
        <v>37</v>
      </c>
      <c r="B41" s="53" t="s">
        <v>40</v>
      </c>
      <c r="C41" s="54">
        <v>1</v>
      </c>
      <c r="D41" s="55">
        <v>10995</v>
      </c>
      <c r="E41" s="56">
        <f t="shared" ref="E41:E72" si="2">C41*D41</f>
        <v>10995</v>
      </c>
      <c r="F41" s="15"/>
      <c r="G41" s="16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</row>
    <row r="42" spans="1:43" ht="28.5" customHeight="1" x14ac:dyDescent="0.25">
      <c r="A42" s="52">
        <v>38</v>
      </c>
      <c r="B42" s="53" t="s">
        <v>41</v>
      </c>
      <c r="C42" s="54">
        <v>10</v>
      </c>
      <c r="D42" s="55">
        <v>3460</v>
      </c>
      <c r="E42" s="56">
        <f t="shared" si="2"/>
        <v>34600</v>
      </c>
      <c r="F42" s="9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</row>
    <row r="43" spans="1:43" ht="28.5" customHeight="1" x14ac:dyDescent="0.25">
      <c r="A43" s="52">
        <v>39</v>
      </c>
      <c r="B43" s="53" t="s">
        <v>42</v>
      </c>
      <c r="C43" s="54">
        <v>5</v>
      </c>
      <c r="D43" s="55">
        <v>2415</v>
      </c>
      <c r="E43" s="56">
        <f t="shared" si="2"/>
        <v>12075</v>
      </c>
      <c r="F43" s="9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</row>
    <row r="44" spans="1:43" ht="28.5" customHeight="1" x14ac:dyDescent="0.25">
      <c r="A44" s="52">
        <v>40</v>
      </c>
      <c r="B44" s="53" t="s">
        <v>43</v>
      </c>
      <c r="C44" s="54">
        <v>5</v>
      </c>
      <c r="D44" s="55">
        <v>2415</v>
      </c>
      <c r="E44" s="56">
        <f t="shared" si="2"/>
        <v>12075</v>
      </c>
      <c r="F44" s="9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</row>
    <row r="45" spans="1:43" ht="28.5" customHeight="1" x14ac:dyDescent="0.25">
      <c r="A45" s="52">
        <v>41</v>
      </c>
      <c r="B45" s="53" t="s">
        <v>44</v>
      </c>
      <c r="C45" s="54">
        <v>1</v>
      </c>
      <c r="D45" s="55">
        <v>3020</v>
      </c>
      <c r="E45" s="56">
        <f t="shared" si="2"/>
        <v>3020</v>
      </c>
      <c r="F45" s="9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</row>
    <row r="46" spans="1:43" ht="28.5" customHeight="1" x14ac:dyDescent="0.25">
      <c r="A46" s="52">
        <v>42</v>
      </c>
      <c r="B46" s="53" t="s">
        <v>45</v>
      </c>
      <c r="C46" s="54">
        <v>1</v>
      </c>
      <c r="D46" s="55">
        <v>1945</v>
      </c>
      <c r="E46" s="56">
        <f t="shared" si="2"/>
        <v>1945</v>
      </c>
      <c r="F46" s="9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</row>
    <row r="47" spans="1:43" ht="28.5" customHeight="1" x14ac:dyDescent="0.25">
      <c r="A47" s="52">
        <v>43</v>
      </c>
      <c r="B47" s="53" t="s">
        <v>46</v>
      </c>
      <c r="C47" s="54">
        <v>1</v>
      </c>
      <c r="D47" s="55">
        <v>3570</v>
      </c>
      <c r="E47" s="56">
        <f t="shared" si="2"/>
        <v>3570</v>
      </c>
      <c r="F47" s="9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</row>
    <row r="48" spans="1:43" ht="28.5" customHeight="1" x14ac:dyDescent="0.25">
      <c r="A48" s="52">
        <v>44</v>
      </c>
      <c r="B48" s="53" t="s">
        <v>47</v>
      </c>
      <c r="C48" s="54">
        <v>1</v>
      </c>
      <c r="D48" s="55">
        <v>5440</v>
      </c>
      <c r="E48" s="56">
        <f t="shared" si="2"/>
        <v>5440</v>
      </c>
      <c r="F48" s="9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</row>
    <row r="49" spans="1:43" ht="28.5" customHeight="1" x14ac:dyDescent="0.25">
      <c r="A49" s="52">
        <v>45</v>
      </c>
      <c r="B49" s="53" t="s">
        <v>48</v>
      </c>
      <c r="C49" s="54">
        <v>10</v>
      </c>
      <c r="D49" s="55">
        <v>2525</v>
      </c>
      <c r="E49" s="56">
        <f t="shared" si="2"/>
        <v>25250</v>
      </c>
      <c r="F49" s="9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</row>
    <row r="50" spans="1:43" ht="28.5" customHeight="1" x14ac:dyDescent="0.25">
      <c r="A50" s="52">
        <v>46</v>
      </c>
      <c r="B50" s="53" t="s">
        <v>49</v>
      </c>
      <c r="C50" s="54">
        <v>5</v>
      </c>
      <c r="D50" s="55">
        <v>2525</v>
      </c>
      <c r="E50" s="56">
        <f t="shared" si="2"/>
        <v>12625</v>
      </c>
      <c r="F50" s="9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</row>
    <row r="51" spans="1:43" ht="28.5" customHeight="1" x14ac:dyDescent="0.25">
      <c r="A51" s="52">
        <v>47</v>
      </c>
      <c r="B51" s="53" t="s">
        <v>50</v>
      </c>
      <c r="C51" s="54">
        <v>5</v>
      </c>
      <c r="D51" s="55">
        <v>3460</v>
      </c>
      <c r="E51" s="56">
        <f t="shared" si="2"/>
        <v>17300</v>
      </c>
      <c r="F51" s="9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</row>
    <row r="52" spans="1:43" ht="28.5" customHeight="1" x14ac:dyDescent="0.25">
      <c r="A52" s="52">
        <v>48</v>
      </c>
      <c r="B52" s="53" t="s">
        <v>51</v>
      </c>
      <c r="C52" s="54">
        <v>2</v>
      </c>
      <c r="D52" s="55">
        <v>3570</v>
      </c>
      <c r="E52" s="56">
        <f t="shared" si="2"/>
        <v>7140</v>
      </c>
      <c r="F52" s="9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</row>
    <row r="53" spans="1:43" ht="28.5" customHeight="1" x14ac:dyDescent="0.25">
      <c r="A53" s="52">
        <v>49</v>
      </c>
      <c r="B53" s="53" t="s">
        <v>52</v>
      </c>
      <c r="C53" s="54">
        <v>2</v>
      </c>
      <c r="D53" s="55">
        <v>2690</v>
      </c>
      <c r="E53" s="56">
        <f t="shared" si="2"/>
        <v>5380</v>
      </c>
      <c r="F53" s="9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</row>
    <row r="54" spans="1:43" ht="28.5" customHeight="1" x14ac:dyDescent="0.25">
      <c r="A54" s="52">
        <v>50</v>
      </c>
      <c r="B54" s="53" t="s">
        <v>53</v>
      </c>
      <c r="C54" s="54">
        <v>3</v>
      </c>
      <c r="D54" s="55">
        <v>2525</v>
      </c>
      <c r="E54" s="56">
        <f t="shared" si="2"/>
        <v>7575</v>
      </c>
      <c r="F54" s="9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</row>
    <row r="55" spans="1:43" ht="28.5" customHeight="1" x14ac:dyDescent="0.25">
      <c r="A55" s="52">
        <v>51</v>
      </c>
      <c r="B55" s="53" t="s">
        <v>54</v>
      </c>
      <c r="C55" s="54">
        <v>2</v>
      </c>
      <c r="D55" s="55">
        <v>3735</v>
      </c>
      <c r="E55" s="56">
        <f t="shared" si="2"/>
        <v>7470</v>
      </c>
      <c r="F55" s="9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</row>
    <row r="56" spans="1:43" ht="28.5" customHeight="1" x14ac:dyDescent="0.25">
      <c r="A56" s="52">
        <v>52</v>
      </c>
      <c r="B56" s="53" t="s">
        <v>55</v>
      </c>
      <c r="C56" s="54">
        <v>3</v>
      </c>
      <c r="D56" s="55">
        <v>3460</v>
      </c>
      <c r="E56" s="56">
        <f t="shared" si="2"/>
        <v>10380</v>
      </c>
      <c r="F56" s="9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</row>
    <row r="57" spans="1:43" ht="28.5" customHeight="1" x14ac:dyDescent="0.25">
      <c r="A57" s="52">
        <v>53</v>
      </c>
      <c r="B57" s="53" t="s">
        <v>56</v>
      </c>
      <c r="C57" s="54">
        <v>4</v>
      </c>
      <c r="D57" s="55">
        <v>4395</v>
      </c>
      <c r="E57" s="56">
        <f t="shared" si="2"/>
        <v>17580</v>
      </c>
      <c r="F57" s="9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</row>
    <row r="58" spans="1:43" ht="28.5" customHeight="1" x14ac:dyDescent="0.25">
      <c r="A58" s="52">
        <v>54</v>
      </c>
      <c r="B58" s="53" t="s">
        <v>57</v>
      </c>
      <c r="C58" s="54">
        <v>2</v>
      </c>
      <c r="D58" s="55">
        <v>4395</v>
      </c>
      <c r="E58" s="56">
        <f t="shared" si="2"/>
        <v>8790</v>
      </c>
      <c r="F58" s="9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</row>
    <row r="59" spans="1:43" ht="28.5" customHeight="1" x14ac:dyDescent="0.25">
      <c r="A59" s="52">
        <v>55</v>
      </c>
      <c r="B59" s="53" t="s">
        <v>58</v>
      </c>
      <c r="C59" s="54">
        <v>5</v>
      </c>
      <c r="D59" s="55">
        <v>4395</v>
      </c>
      <c r="E59" s="56">
        <f t="shared" si="2"/>
        <v>21975</v>
      </c>
      <c r="F59" s="9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</row>
    <row r="60" spans="1:43" ht="28.5" customHeight="1" x14ac:dyDescent="0.25">
      <c r="A60" s="52">
        <v>56</v>
      </c>
      <c r="B60" s="53" t="s">
        <v>59</v>
      </c>
      <c r="C60" s="54">
        <v>2</v>
      </c>
      <c r="D60" s="55">
        <v>5160</v>
      </c>
      <c r="E60" s="56">
        <f t="shared" si="2"/>
        <v>10320</v>
      </c>
      <c r="F60" s="9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</row>
    <row r="61" spans="1:43" ht="28.5" customHeight="1" x14ac:dyDescent="0.25">
      <c r="A61" s="52">
        <v>57</v>
      </c>
      <c r="B61" s="53" t="s">
        <v>60</v>
      </c>
      <c r="C61" s="54">
        <v>2</v>
      </c>
      <c r="D61" s="55">
        <v>11210</v>
      </c>
      <c r="E61" s="56">
        <f t="shared" si="2"/>
        <v>22420</v>
      </c>
      <c r="F61" s="9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</row>
    <row r="62" spans="1:43" ht="28.5" customHeight="1" x14ac:dyDescent="0.25">
      <c r="A62" s="52">
        <v>58</v>
      </c>
      <c r="B62" s="53" t="s">
        <v>61</v>
      </c>
      <c r="C62" s="54">
        <v>4</v>
      </c>
      <c r="D62" s="55">
        <v>7140</v>
      </c>
      <c r="E62" s="56">
        <f t="shared" si="2"/>
        <v>28560</v>
      </c>
      <c r="F62" s="9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</row>
    <row r="63" spans="1:43" ht="28.5" customHeight="1" x14ac:dyDescent="0.25">
      <c r="A63" s="57">
        <v>59</v>
      </c>
      <c r="B63" s="16"/>
      <c r="C63" s="16"/>
      <c r="D63" s="16"/>
      <c r="E63" s="16"/>
      <c r="F63" s="166" t="s">
        <v>0</v>
      </c>
      <c r="G63" s="167">
        <f>SUM(E64:E72)</f>
        <v>64340</v>
      </c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</row>
    <row r="64" spans="1:43" ht="28.5" customHeight="1" x14ac:dyDescent="0.25">
      <c r="A64" s="58">
        <v>60</v>
      </c>
      <c r="B64" s="163" t="s">
        <v>82</v>
      </c>
      <c r="C64" s="164">
        <v>1</v>
      </c>
      <c r="D64" s="165">
        <v>2100</v>
      </c>
      <c r="E64" s="56">
        <f t="shared" si="2"/>
        <v>2100</v>
      </c>
      <c r="F64" s="165"/>
      <c r="G64" s="165"/>
      <c r="H64" s="163"/>
      <c r="I64" s="163"/>
      <c r="J64" s="163"/>
      <c r="K64" s="163"/>
      <c r="L64" s="163"/>
      <c r="M64" s="163"/>
      <c r="N64" s="163"/>
      <c r="O64" s="163"/>
      <c r="P64" s="163"/>
      <c r="Q64" s="163"/>
      <c r="R64" s="163"/>
      <c r="S64" s="163"/>
      <c r="T64" s="163"/>
      <c r="U64" s="163"/>
      <c r="V64" s="163"/>
      <c r="X64" s="164"/>
      <c r="Y64" s="164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</row>
    <row r="65" spans="1:43" ht="28.5" customHeight="1" x14ac:dyDescent="0.25">
      <c r="A65" s="58">
        <v>61</v>
      </c>
      <c r="B65" s="163" t="s">
        <v>83</v>
      </c>
      <c r="C65" s="164">
        <v>2</v>
      </c>
      <c r="D65" s="165">
        <v>2900</v>
      </c>
      <c r="E65" s="56">
        <f t="shared" si="2"/>
        <v>5800</v>
      </c>
      <c r="F65" s="165"/>
      <c r="G65" s="165"/>
      <c r="H65" s="163"/>
      <c r="I65" s="163"/>
      <c r="J65" s="163"/>
      <c r="K65" s="163"/>
      <c r="L65" s="163"/>
      <c r="M65" s="163"/>
      <c r="N65" s="163"/>
      <c r="O65" s="163"/>
      <c r="P65" s="163"/>
      <c r="Q65" s="163"/>
      <c r="R65" s="163"/>
      <c r="S65" s="163"/>
      <c r="T65" s="163"/>
      <c r="U65" s="163"/>
      <c r="V65" s="163"/>
      <c r="X65" s="164"/>
      <c r="Y65" s="164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</row>
    <row r="66" spans="1:43" ht="28.5" customHeight="1" x14ac:dyDescent="0.25">
      <c r="A66" s="58">
        <v>62</v>
      </c>
      <c r="B66" s="163" t="s">
        <v>84</v>
      </c>
      <c r="C66" s="164">
        <v>2</v>
      </c>
      <c r="D66" s="165">
        <v>3200</v>
      </c>
      <c r="E66" s="56">
        <f t="shared" si="2"/>
        <v>6400</v>
      </c>
      <c r="F66" s="165"/>
      <c r="G66" s="165"/>
      <c r="H66" s="163"/>
      <c r="I66" s="163"/>
      <c r="J66" s="163"/>
      <c r="K66" s="163"/>
      <c r="L66" s="163"/>
      <c r="M66" s="163"/>
      <c r="N66" s="163"/>
      <c r="O66" s="163"/>
      <c r="P66" s="163"/>
      <c r="Q66" s="163"/>
      <c r="R66" s="163"/>
      <c r="S66" s="163"/>
      <c r="T66" s="163"/>
      <c r="U66" s="163"/>
      <c r="V66" s="163"/>
      <c r="X66" s="164"/>
      <c r="Y66" s="164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</row>
    <row r="67" spans="1:43" ht="28.5" customHeight="1" x14ac:dyDescent="0.25">
      <c r="A67" s="58">
        <v>63</v>
      </c>
      <c r="B67" s="163" t="s">
        <v>85</v>
      </c>
      <c r="C67" s="164">
        <v>5</v>
      </c>
      <c r="D67" s="165">
        <v>1300</v>
      </c>
      <c r="E67" s="56">
        <f t="shared" si="2"/>
        <v>6500</v>
      </c>
      <c r="F67" s="165"/>
      <c r="G67" s="165"/>
      <c r="H67" s="163"/>
      <c r="I67" s="163"/>
      <c r="J67" s="163"/>
      <c r="K67" s="163"/>
      <c r="L67" s="163"/>
      <c r="M67" s="163"/>
      <c r="N67" s="163"/>
      <c r="O67" s="163"/>
      <c r="P67" s="163"/>
      <c r="Q67" s="163"/>
      <c r="R67" s="163"/>
      <c r="S67" s="163"/>
      <c r="T67" s="163"/>
      <c r="U67" s="163"/>
      <c r="V67" s="163"/>
      <c r="X67" s="164"/>
      <c r="Y67" s="164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</row>
    <row r="68" spans="1:43" ht="28.5" customHeight="1" x14ac:dyDescent="0.25">
      <c r="A68" s="58">
        <v>64</v>
      </c>
      <c r="B68" s="163" t="s">
        <v>86</v>
      </c>
      <c r="C68" s="164">
        <v>10</v>
      </c>
      <c r="D68" s="165">
        <v>1645</v>
      </c>
      <c r="E68" s="56">
        <f t="shared" si="2"/>
        <v>16450</v>
      </c>
      <c r="F68" s="165"/>
      <c r="G68" s="165"/>
      <c r="H68" s="163"/>
      <c r="I68" s="163"/>
      <c r="J68" s="163"/>
      <c r="K68" s="163"/>
      <c r="L68" s="163"/>
      <c r="M68" s="163"/>
      <c r="N68" s="163"/>
      <c r="O68" s="163"/>
      <c r="P68" s="163"/>
      <c r="Q68" s="163"/>
      <c r="R68" s="163"/>
      <c r="S68" s="163"/>
      <c r="T68" s="163"/>
      <c r="U68" s="163"/>
      <c r="V68" s="163"/>
      <c r="X68" s="164"/>
      <c r="Y68" s="164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</row>
    <row r="69" spans="1:43" ht="28.5" customHeight="1" x14ac:dyDescent="0.25">
      <c r="A69" s="58">
        <v>65</v>
      </c>
      <c r="B69" s="163" t="s">
        <v>87</v>
      </c>
      <c r="C69" s="164">
        <v>7</v>
      </c>
      <c r="D69" s="165">
        <v>1100</v>
      </c>
      <c r="E69" s="56">
        <f t="shared" si="2"/>
        <v>7700</v>
      </c>
      <c r="F69" s="165"/>
      <c r="G69" s="165"/>
      <c r="H69" s="163"/>
      <c r="I69" s="163"/>
      <c r="J69" s="163"/>
      <c r="K69" s="163"/>
      <c r="L69" s="163"/>
      <c r="M69" s="163"/>
      <c r="N69" s="163"/>
      <c r="O69" s="163"/>
      <c r="P69" s="163"/>
      <c r="Q69" s="163"/>
      <c r="R69" s="163"/>
      <c r="S69" s="163"/>
      <c r="T69" s="163"/>
      <c r="U69" s="163"/>
      <c r="V69" s="163"/>
      <c r="X69" s="164"/>
      <c r="Y69" s="164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</row>
    <row r="70" spans="1:43" ht="28.5" customHeight="1" x14ac:dyDescent="0.25">
      <c r="A70" s="58">
        <v>66</v>
      </c>
      <c r="B70" s="163" t="s">
        <v>88</v>
      </c>
      <c r="C70" s="164">
        <v>10</v>
      </c>
      <c r="D70" s="165">
        <v>1350</v>
      </c>
      <c r="E70" s="56">
        <f t="shared" si="2"/>
        <v>13500</v>
      </c>
      <c r="F70" s="165"/>
      <c r="G70" s="165"/>
      <c r="H70" s="163"/>
      <c r="I70" s="163"/>
      <c r="J70" s="163"/>
      <c r="K70" s="163"/>
      <c r="L70" s="163"/>
      <c r="M70" s="163"/>
      <c r="N70" s="163"/>
      <c r="O70" s="163"/>
      <c r="P70" s="163"/>
      <c r="Q70" s="163"/>
      <c r="R70" s="163"/>
      <c r="S70" s="163"/>
      <c r="T70" s="163"/>
      <c r="U70" s="163"/>
      <c r="V70" s="163"/>
      <c r="X70" s="164"/>
      <c r="Y70" s="164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</row>
    <row r="71" spans="1:43" ht="28.5" customHeight="1" x14ac:dyDescent="0.25">
      <c r="A71" s="58">
        <v>67</v>
      </c>
      <c r="B71" s="163" t="s">
        <v>89</v>
      </c>
      <c r="C71" s="164">
        <v>1</v>
      </c>
      <c r="D71" s="165">
        <v>2745</v>
      </c>
      <c r="E71" s="56">
        <f t="shared" si="2"/>
        <v>2745</v>
      </c>
      <c r="F71" s="165"/>
      <c r="G71" s="165"/>
      <c r="H71" s="163"/>
      <c r="I71" s="163"/>
      <c r="J71" s="163"/>
      <c r="K71" s="163"/>
      <c r="L71" s="163"/>
      <c r="M71" s="163"/>
      <c r="N71" s="163"/>
      <c r="O71" s="163"/>
      <c r="P71" s="163"/>
      <c r="Q71" s="163"/>
      <c r="R71" s="163"/>
      <c r="S71" s="163"/>
      <c r="T71" s="163"/>
      <c r="U71" s="163"/>
      <c r="V71" s="163"/>
      <c r="X71" s="164"/>
      <c r="Y71" s="164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</row>
    <row r="72" spans="1:43" ht="28.5" customHeight="1" x14ac:dyDescent="0.25">
      <c r="A72" s="58">
        <v>68</v>
      </c>
      <c r="B72" s="163" t="s">
        <v>90</v>
      </c>
      <c r="C72" s="164">
        <v>1</v>
      </c>
      <c r="D72" s="165">
        <v>3145</v>
      </c>
      <c r="E72" s="56">
        <f t="shared" si="2"/>
        <v>3145</v>
      </c>
      <c r="F72" s="165"/>
      <c r="G72" s="165"/>
      <c r="H72" s="163"/>
      <c r="I72" s="163"/>
      <c r="J72" s="163"/>
      <c r="K72" s="163"/>
      <c r="L72" s="163"/>
      <c r="M72" s="163"/>
      <c r="N72" s="163"/>
      <c r="O72" s="163"/>
      <c r="P72" s="163"/>
      <c r="Q72" s="163"/>
      <c r="R72" s="163"/>
      <c r="S72" s="163"/>
      <c r="T72" s="163"/>
      <c r="U72" s="163"/>
      <c r="V72" s="163"/>
      <c r="X72" s="164"/>
      <c r="Y72" s="164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</row>
    <row r="73" spans="1:43" ht="28.5" customHeight="1" x14ac:dyDescent="0.25">
      <c r="A73" s="58">
        <v>69</v>
      </c>
      <c r="B73" s="10"/>
      <c r="C73" s="10"/>
      <c r="D73" s="10"/>
      <c r="E73" s="10"/>
      <c r="F73" s="166" t="s">
        <v>0</v>
      </c>
      <c r="G73" s="10">
        <f>SUM(E74:E75)</f>
        <v>50500</v>
      </c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</row>
    <row r="74" spans="1:43" ht="28.5" customHeight="1" x14ac:dyDescent="0.25">
      <c r="A74" s="58">
        <v>70</v>
      </c>
      <c r="B74" s="10" t="s">
        <v>91</v>
      </c>
      <c r="C74" s="10">
        <v>10</v>
      </c>
      <c r="D74" s="10">
        <v>2525</v>
      </c>
      <c r="E74" s="10">
        <f>C74*D74</f>
        <v>25250</v>
      </c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</row>
    <row r="75" spans="1:43" ht="28.5" customHeight="1" x14ac:dyDescent="0.25">
      <c r="B75" s="148" t="s">
        <v>92</v>
      </c>
      <c r="C75" s="168">
        <v>10</v>
      </c>
      <c r="D75" s="169">
        <v>2525</v>
      </c>
      <c r="E75" s="10">
        <f>C75*D75</f>
        <v>25250</v>
      </c>
    </row>
    <row r="77" spans="1:43" ht="28.5" customHeight="1" x14ac:dyDescent="0.25">
      <c r="B77" s="1" t="s">
        <v>93</v>
      </c>
      <c r="C77" s="1">
        <v>2</v>
      </c>
      <c r="D77" s="1">
        <v>2580</v>
      </c>
      <c r="E77" s="1">
        <v>5160</v>
      </c>
    </row>
    <row r="78" spans="1:43" ht="28.5" customHeight="1" x14ac:dyDescent="0.25">
      <c r="B78" s="171" t="s">
        <v>94</v>
      </c>
      <c r="C78" s="1">
        <v>2</v>
      </c>
      <c r="D78" s="1">
        <v>5605</v>
      </c>
      <c r="E78" s="1">
        <v>11210</v>
      </c>
    </row>
    <row r="79" spans="1:43" ht="28.5" customHeight="1" x14ac:dyDescent="0.25">
      <c r="B79" s="171" t="s">
        <v>95</v>
      </c>
      <c r="C79" s="171">
        <v>4</v>
      </c>
      <c r="D79" s="171">
        <v>3570</v>
      </c>
      <c r="E79" s="1">
        <v>14280</v>
      </c>
    </row>
    <row r="80" spans="1:43" ht="28.5" customHeight="1" x14ac:dyDescent="0.25">
      <c r="B80" s="171" t="s">
        <v>96</v>
      </c>
      <c r="C80" s="171">
        <v>4</v>
      </c>
      <c r="D80" s="171">
        <v>1597</v>
      </c>
      <c r="E80" s="171">
        <v>6388</v>
      </c>
    </row>
    <row r="81" spans="2:5" ht="28.5" customHeight="1" x14ac:dyDescent="0.25">
      <c r="B81" s="171" t="s">
        <v>97</v>
      </c>
      <c r="C81" s="171">
        <v>2</v>
      </c>
      <c r="D81" s="171">
        <v>3234</v>
      </c>
      <c r="E81" s="171">
        <v>6468</v>
      </c>
    </row>
    <row r="82" spans="2:5" ht="28.5" customHeight="1" x14ac:dyDescent="0.25">
      <c r="B82" s="171" t="s">
        <v>98</v>
      </c>
      <c r="C82" s="171">
        <v>4</v>
      </c>
      <c r="D82" s="171">
        <v>2525</v>
      </c>
      <c r="E82" s="171">
        <v>10100</v>
      </c>
    </row>
    <row r="83" spans="2:5" ht="28.5" customHeight="1" x14ac:dyDescent="0.25">
      <c r="B83" s="171" t="s">
        <v>99</v>
      </c>
      <c r="C83" s="171">
        <v>1</v>
      </c>
      <c r="D83" s="171">
        <v>1920</v>
      </c>
      <c r="E83" s="171">
        <v>1920</v>
      </c>
    </row>
    <row r="84" spans="2:5" ht="28.5" customHeight="1" x14ac:dyDescent="0.25">
      <c r="B84" s="171" t="s">
        <v>100</v>
      </c>
      <c r="C84" s="171">
        <v>1</v>
      </c>
      <c r="D84" s="1">
        <v>2590</v>
      </c>
      <c r="E84" s="171">
        <v>2590</v>
      </c>
    </row>
  </sheetData>
  <pageMargins left="0.7" right="0.7" top="0.75" bottom="0.75" header="0.3" footer="0.3"/>
  <pageSetup orientation="portrait" r:id="rId1"/>
  <headerFooter>
    <oddFooter>&amp;C&amp;"Helvetica Neue,Regular"&amp;12&amp;K000000&amp;P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Y78"/>
  <sheetViews>
    <sheetView showGridLines="0" workbookViewId="0">
      <pane xSplit="1" topLeftCell="G1" activePane="topRight" state="frozen"/>
      <selection pane="topRight" activeCell="P28" sqref="P28"/>
    </sheetView>
  </sheetViews>
  <sheetFormatPr defaultColWidth="16.28515625" defaultRowHeight="15.4" customHeight="1" x14ac:dyDescent="0.25"/>
  <cols>
    <col min="1" max="1" width="7.5703125" style="59" customWidth="1"/>
    <col min="2" max="2" width="60.28515625" style="59" customWidth="1"/>
    <col min="3" max="4" width="16.28515625" style="59" customWidth="1"/>
    <col min="5" max="8" width="18.85546875" style="59" customWidth="1"/>
    <col min="9" max="10" width="16.28515625" style="59" customWidth="1"/>
    <col min="11" max="11" width="8.140625" style="59" customWidth="1"/>
    <col min="12" max="12" width="11.140625" style="59" customWidth="1"/>
    <col min="13" max="13" width="16.28515625" style="59" customWidth="1"/>
    <col min="14" max="14" width="14.42578125" style="59" customWidth="1"/>
    <col min="15" max="15" width="13.28515625" style="59" customWidth="1"/>
    <col min="16" max="16" width="11.85546875" style="59" customWidth="1"/>
    <col min="17" max="18" width="16.28515625" style="59" customWidth="1"/>
    <col min="19" max="19" width="37.140625" style="59" customWidth="1"/>
    <col min="20" max="52" width="16.28515625" style="59" customWidth="1"/>
    <col min="53" max="16384" width="16.28515625" style="59"/>
  </cols>
  <sheetData>
    <row r="1" spans="1:51" ht="14.85" customHeight="1" x14ac:dyDescent="0.25">
      <c r="A1" s="170" t="s">
        <v>62</v>
      </c>
      <c r="B1" s="170"/>
      <c r="C1" s="170"/>
      <c r="D1" s="170"/>
      <c r="E1" s="170"/>
      <c r="F1" s="170"/>
      <c r="G1" s="170"/>
      <c r="H1" s="170"/>
      <c r="I1" s="170"/>
      <c r="J1" s="170"/>
      <c r="K1" s="170"/>
      <c r="L1" s="170"/>
      <c r="M1" s="170"/>
      <c r="N1" s="170"/>
      <c r="O1" s="170"/>
      <c r="P1" s="170"/>
      <c r="Q1" s="170"/>
      <c r="R1" s="170"/>
      <c r="S1" s="170"/>
      <c r="T1" s="170"/>
      <c r="U1" s="170"/>
      <c r="V1" s="170"/>
      <c r="W1" s="170"/>
      <c r="X1" s="170"/>
      <c r="Y1" s="170"/>
      <c r="Z1" s="170"/>
      <c r="AA1" s="170"/>
      <c r="AB1" s="170"/>
      <c r="AC1" s="170"/>
      <c r="AD1" s="170"/>
      <c r="AE1" s="170"/>
      <c r="AF1" s="170"/>
      <c r="AG1" s="170"/>
      <c r="AH1" s="170"/>
      <c r="AI1" s="170"/>
      <c r="AJ1" s="170"/>
      <c r="AK1" s="170"/>
      <c r="AL1" s="170"/>
      <c r="AM1" s="170"/>
      <c r="AN1" s="170"/>
      <c r="AO1" s="170"/>
      <c r="AP1" s="170"/>
      <c r="AQ1" s="170"/>
      <c r="AR1" s="170"/>
      <c r="AS1" s="170"/>
      <c r="AT1" s="170"/>
      <c r="AU1" s="170"/>
      <c r="AV1" s="170"/>
      <c r="AW1" s="170"/>
      <c r="AX1" s="170"/>
      <c r="AY1" s="170"/>
    </row>
    <row r="2" spans="1:51" ht="13.15" customHeight="1" x14ac:dyDescent="0.25">
      <c r="A2" s="60"/>
      <c r="B2" s="61"/>
      <c r="C2" s="61"/>
      <c r="D2" s="61"/>
      <c r="E2" s="61"/>
      <c r="F2" s="61"/>
      <c r="G2" s="61"/>
      <c r="H2" s="61"/>
      <c r="I2" s="61"/>
      <c r="J2" s="62"/>
      <c r="K2" s="63"/>
      <c r="L2" s="64"/>
      <c r="M2" s="65"/>
      <c r="N2" s="62"/>
      <c r="O2" s="63"/>
      <c r="P2" s="63"/>
      <c r="Q2" s="63"/>
      <c r="R2" s="64"/>
      <c r="S2" s="65"/>
      <c r="T2" s="61"/>
      <c r="U2" s="61"/>
      <c r="V2" s="61"/>
      <c r="W2" s="61"/>
      <c r="X2" s="61"/>
      <c r="Y2" s="61"/>
      <c r="Z2" s="61"/>
      <c r="AA2" s="61"/>
      <c r="AB2" s="61"/>
      <c r="AC2" s="61"/>
      <c r="AD2" s="61"/>
      <c r="AE2" s="61"/>
      <c r="AF2" s="61"/>
      <c r="AG2" s="61"/>
      <c r="AH2" s="61"/>
      <c r="AI2" s="61"/>
      <c r="AJ2" s="61"/>
      <c r="AK2" s="61"/>
      <c r="AL2" s="61"/>
      <c r="AM2" s="61"/>
      <c r="AN2" s="61"/>
      <c r="AO2" s="61"/>
      <c r="AP2" s="61"/>
      <c r="AQ2" s="61"/>
      <c r="AR2" s="61"/>
      <c r="AS2" s="61"/>
      <c r="AT2" s="61"/>
      <c r="AU2" s="61"/>
      <c r="AV2" s="61"/>
      <c r="AW2" s="61"/>
      <c r="AX2" s="61"/>
      <c r="AY2" s="66"/>
    </row>
    <row r="3" spans="1:51" ht="13.5" customHeight="1" x14ac:dyDescent="0.25">
      <c r="A3" s="67"/>
      <c r="B3" s="68"/>
      <c r="C3" s="68"/>
      <c r="D3" s="68"/>
      <c r="E3" s="68"/>
      <c r="F3" s="68"/>
      <c r="G3" s="68"/>
      <c r="H3" s="68"/>
      <c r="I3" s="68"/>
      <c r="J3" s="69"/>
      <c r="K3" s="70"/>
      <c r="L3" s="71"/>
      <c r="M3" s="72"/>
      <c r="N3" s="69"/>
      <c r="O3" s="70"/>
      <c r="P3" s="70"/>
      <c r="Q3" s="70"/>
      <c r="R3" s="71"/>
      <c r="S3" s="72"/>
      <c r="T3" s="68"/>
      <c r="U3" s="68"/>
      <c r="V3" s="68"/>
      <c r="W3" s="68"/>
      <c r="X3" s="68"/>
      <c r="Y3" s="68"/>
      <c r="Z3" s="68"/>
      <c r="AA3" s="68"/>
      <c r="AB3" s="68"/>
      <c r="AC3" s="68"/>
      <c r="AD3" s="68"/>
      <c r="AE3" s="68"/>
      <c r="AF3" s="68"/>
      <c r="AG3" s="68"/>
      <c r="AH3" s="68"/>
      <c r="AI3" s="68"/>
      <c r="AJ3" s="68"/>
      <c r="AK3" s="68"/>
      <c r="AL3" s="68"/>
      <c r="AM3" s="68"/>
      <c r="AN3" s="68"/>
      <c r="AO3" s="68"/>
      <c r="AP3" s="68"/>
      <c r="AQ3" s="68"/>
      <c r="AR3" s="68"/>
      <c r="AS3" s="68"/>
      <c r="AT3" s="68"/>
      <c r="AU3" s="68"/>
      <c r="AV3" s="68"/>
      <c r="AW3" s="68"/>
      <c r="AX3" s="68"/>
      <c r="AY3" s="73"/>
    </row>
    <row r="4" spans="1:51" ht="13.5" customHeight="1" x14ac:dyDescent="0.25">
      <c r="A4" s="67"/>
      <c r="B4" s="68"/>
      <c r="C4" s="68"/>
      <c r="D4" s="68"/>
      <c r="E4" s="68"/>
      <c r="F4" s="68"/>
      <c r="G4" s="68"/>
      <c r="H4" s="68"/>
      <c r="I4" s="68"/>
      <c r="J4" s="69"/>
      <c r="K4" s="70"/>
      <c r="L4" s="71"/>
      <c r="M4" s="74"/>
      <c r="N4" s="75"/>
      <c r="O4" s="70"/>
      <c r="P4" s="70"/>
      <c r="Q4" s="70"/>
      <c r="R4" s="71"/>
      <c r="S4" s="72"/>
      <c r="T4" s="68"/>
      <c r="U4" s="68"/>
      <c r="V4" s="68"/>
      <c r="W4" s="68"/>
      <c r="X4" s="68"/>
      <c r="Y4" s="68"/>
      <c r="Z4" s="68"/>
      <c r="AA4" s="68"/>
      <c r="AB4" s="68"/>
      <c r="AC4" s="68"/>
      <c r="AD4" s="68"/>
      <c r="AE4" s="68"/>
      <c r="AF4" s="68"/>
      <c r="AG4" s="68"/>
      <c r="AH4" s="68"/>
      <c r="AI4" s="68"/>
      <c r="AJ4" s="68"/>
      <c r="AK4" s="68"/>
      <c r="AL4" s="68"/>
      <c r="AM4" s="68"/>
      <c r="AN4" s="68"/>
      <c r="AO4" s="68"/>
      <c r="AP4" s="68"/>
      <c r="AQ4" s="68"/>
      <c r="AR4" s="68"/>
      <c r="AS4" s="68"/>
      <c r="AT4" s="68"/>
      <c r="AU4" s="68"/>
      <c r="AV4" s="68"/>
      <c r="AW4" s="68"/>
      <c r="AX4" s="68"/>
      <c r="AY4" s="73"/>
    </row>
    <row r="5" spans="1:51" ht="13.5" customHeight="1" x14ac:dyDescent="0.25">
      <c r="A5" s="76"/>
      <c r="B5" s="77"/>
      <c r="C5" s="77"/>
      <c r="D5" s="78" t="s">
        <v>63</v>
      </c>
      <c r="E5" s="78" t="s">
        <v>64</v>
      </c>
      <c r="F5" s="78" t="s">
        <v>65</v>
      </c>
      <c r="G5" s="78" t="s">
        <v>66</v>
      </c>
      <c r="H5" s="78" t="s">
        <v>67</v>
      </c>
      <c r="I5" s="78" t="s">
        <v>68</v>
      </c>
      <c r="J5" s="79"/>
      <c r="K5" s="12" t="s">
        <v>0</v>
      </c>
      <c r="L5" s="80">
        <f>SUM(J6:J22)</f>
        <v>304420</v>
      </c>
      <c r="M5" s="81" t="s">
        <v>69</v>
      </c>
      <c r="N5" s="82">
        <f>SUM(I6:I22)</f>
        <v>182652</v>
      </c>
      <c r="O5" s="83" t="s">
        <v>70</v>
      </c>
      <c r="P5" s="84">
        <f>SUM(H6:H22)</f>
        <v>197873</v>
      </c>
      <c r="Q5" s="85" t="s">
        <v>71</v>
      </c>
      <c r="R5" s="86">
        <f>SUM(L6:L78)</f>
        <v>910296</v>
      </c>
      <c r="S5" s="87" t="s">
        <v>72</v>
      </c>
      <c r="T5" s="88">
        <f>Приход!J1</f>
        <v>722198</v>
      </c>
      <c r="U5" s="89"/>
      <c r="V5" s="89"/>
      <c r="W5" s="89"/>
      <c r="X5" s="89"/>
      <c r="Y5" s="89"/>
      <c r="Z5" s="89"/>
      <c r="AA5" s="89"/>
      <c r="AB5" s="89"/>
      <c r="AC5" s="89"/>
      <c r="AD5" s="89"/>
      <c r="AE5" s="89"/>
      <c r="AF5" s="89"/>
      <c r="AG5" s="89"/>
      <c r="AH5" s="89"/>
      <c r="AI5" s="89"/>
      <c r="AJ5" s="89"/>
      <c r="AK5" s="89"/>
      <c r="AL5" s="89"/>
      <c r="AM5" s="89"/>
      <c r="AN5" s="89"/>
      <c r="AO5" s="89"/>
      <c r="AP5" s="89"/>
      <c r="AQ5" s="89"/>
      <c r="AR5" s="89"/>
      <c r="AS5" s="89"/>
      <c r="AT5" s="89"/>
      <c r="AU5" s="89"/>
      <c r="AV5" s="89"/>
      <c r="AW5" s="89"/>
      <c r="AX5" s="89"/>
      <c r="AY5" s="90"/>
    </row>
    <row r="6" spans="1:51" ht="13.5" customHeight="1" x14ac:dyDescent="0.25">
      <c r="A6" s="91">
        <v>1</v>
      </c>
      <c r="B6" s="12" t="s">
        <v>2</v>
      </c>
      <c r="C6" s="13">
        <v>1</v>
      </c>
      <c r="D6" s="14">
        <f>Приход!$D2*2</f>
        <v>2990</v>
      </c>
      <c r="E6" s="14">
        <f>Приход!D2*$T$16</f>
        <v>1734.1999999999998</v>
      </c>
      <c r="F6" s="14">
        <f t="shared" ref="F6:F37" si="0">E6*C6</f>
        <v>1734.1999999999998</v>
      </c>
      <c r="G6" s="14">
        <f t="shared" ref="G6:G37" si="1">D6*$T$15</f>
        <v>1943.5</v>
      </c>
      <c r="H6" s="14">
        <f t="shared" ref="H6:H22" si="2">G6*C6</f>
        <v>1943.5</v>
      </c>
      <c r="I6" s="14">
        <f>D6*0.6*Приход!C2</f>
        <v>1794</v>
      </c>
      <c r="J6" s="14">
        <f t="shared" ref="J6:J22" si="3">C6*D6</f>
        <v>2990</v>
      </c>
      <c r="K6" s="92"/>
      <c r="L6" s="93"/>
      <c r="M6" s="94"/>
      <c r="N6" s="94"/>
      <c r="O6" s="95"/>
      <c r="P6" s="95"/>
      <c r="Q6" s="96" t="s">
        <v>3</v>
      </c>
      <c r="R6" s="97">
        <v>700000</v>
      </c>
      <c r="S6" s="98" t="s">
        <v>73</v>
      </c>
      <c r="T6" s="99">
        <f>N$5+N23+N42+N44</f>
        <v>728829.6</v>
      </c>
      <c r="U6" s="100"/>
      <c r="V6" s="100"/>
      <c r="W6" s="100"/>
      <c r="X6" s="100"/>
      <c r="Y6" s="100"/>
      <c r="Z6" s="100"/>
      <c r="AA6" s="100"/>
      <c r="AB6" s="100"/>
      <c r="AC6" s="100"/>
      <c r="AD6" s="100"/>
      <c r="AE6" s="100"/>
      <c r="AF6" s="100"/>
      <c r="AG6" s="100"/>
      <c r="AH6" s="100"/>
      <c r="AI6" s="100"/>
      <c r="AJ6" s="100"/>
      <c r="AK6" s="100"/>
      <c r="AL6" s="100"/>
      <c r="AM6" s="100"/>
      <c r="AN6" s="100"/>
      <c r="AO6" s="100"/>
      <c r="AP6" s="100"/>
      <c r="AQ6" s="100"/>
      <c r="AR6" s="100"/>
      <c r="AS6" s="100"/>
      <c r="AT6" s="100"/>
      <c r="AU6" s="100"/>
      <c r="AV6" s="100"/>
      <c r="AW6" s="100"/>
      <c r="AX6" s="100"/>
      <c r="AY6" s="101"/>
    </row>
    <row r="7" spans="1:51" ht="13.5" customHeight="1" x14ac:dyDescent="0.25">
      <c r="A7" s="91">
        <v>2</v>
      </c>
      <c r="B7" s="12" t="s">
        <v>4</v>
      </c>
      <c r="C7" s="13">
        <v>2</v>
      </c>
      <c r="D7" s="14">
        <f>Приход!$D3*2</f>
        <v>2790</v>
      </c>
      <c r="E7" s="14">
        <f>Приход!D3*$T$16</f>
        <v>1618.1999999999998</v>
      </c>
      <c r="F7" s="14">
        <f t="shared" si="0"/>
        <v>3236.3999999999996</v>
      </c>
      <c r="G7" s="14">
        <f t="shared" si="1"/>
        <v>1813.5</v>
      </c>
      <c r="H7" s="14">
        <f t="shared" si="2"/>
        <v>3627</v>
      </c>
      <c r="I7" s="14">
        <f>D7*0.6*Приход!C3</f>
        <v>3348</v>
      </c>
      <c r="J7" s="14">
        <f t="shared" si="3"/>
        <v>5580</v>
      </c>
      <c r="K7" s="72"/>
      <c r="L7" s="68"/>
      <c r="M7" s="68"/>
      <c r="N7" s="69"/>
      <c r="O7" s="102"/>
      <c r="P7" s="102"/>
      <c r="Q7" s="20" t="s">
        <v>5</v>
      </c>
      <c r="R7" s="21">
        <f>R6-R5</f>
        <v>-210296</v>
      </c>
      <c r="S7" s="103" t="s">
        <v>74</v>
      </c>
      <c r="T7" s="104">
        <f>P$5+P23+P42+P44</f>
        <v>789565.4</v>
      </c>
      <c r="U7" s="68"/>
      <c r="V7" s="68"/>
      <c r="W7" s="68"/>
      <c r="X7" s="68"/>
      <c r="Y7" s="68"/>
      <c r="Z7" s="68"/>
      <c r="AA7" s="68"/>
      <c r="AB7" s="68"/>
      <c r="AC7" s="68"/>
      <c r="AD7" s="68"/>
      <c r="AE7" s="68"/>
      <c r="AF7" s="68"/>
      <c r="AG7" s="68"/>
      <c r="AH7" s="68"/>
      <c r="AI7" s="68"/>
      <c r="AJ7" s="68"/>
      <c r="AK7" s="68"/>
      <c r="AL7" s="68"/>
      <c r="AM7" s="68"/>
      <c r="AN7" s="68"/>
      <c r="AO7" s="68"/>
      <c r="AP7" s="68"/>
      <c r="AQ7" s="68"/>
      <c r="AR7" s="68"/>
      <c r="AS7" s="68"/>
      <c r="AT7" s="68"/>
      <c r="AU7" s="68"/>
      <c r="AV7" s="68"/>
      <c r="AW7" s="68"/>
      <c r="AX7" s="68"/>
      <c r="AY7" s="73"/>
    </row>
    <row r="8" spans="1:51" ht="13.5" customHeight="1" x14ac:dyDescent="0.25">
      <c r="A8" s="91">
        <v>3</v>
      </c>
      <c r="B8" s="12" t="s">
        <v>6</v>
      </c>
      <c r="C8" s="13">
        <v>10</v>
      </c>
      <c r="D8" s="14">
        <f>Приход!$D4*2</f>
        <v>1990</v>
      </c>
      <c r="E8" s="13">
        <f>Приход!D4*$T$16</f>
        <v>1154.1999999999998</v>
      </c>
      <c r="F8" s="13">
        <f t="shared" si="0"/>
        <v>11541.999999999998</v>
      </c>
      <c r="G8" s="14">
        <f t="shared" si="1"/>
        <v>1293.5</v>
      </c>
      <c r="H8" s="14">
        <f t="shared" si="2"/>
        <v>12935</v>
      </c>
      <c r="I8" s="14">
        <f>D8*0.6*Приход!C4</f>
        <v>11940</v>
      </c>
      <c r="J8" s="14">
        <f t="shared" si="3"/>
        <v>19900</v>
      </c>
      <c r="K8" s="72"/>
      <c r="L8" s="68"/>
      <c r="M8" s="68"/>
      <c r="N8" s="68"/>
      <c r="O8" s="93"/>
      <c r="P8" s="93"/>
      <c r="Q8" s="93"/>
      <c r="R8" s="93"/>
      <c r="S8" s="105" t="s">
        <v>75</v>
      </c>
      <c r="T8" s="104">
        <f>T7-T$6</f>
        <v>60735.800000000047</v>
      </c>
      <c r="U8" s="68"/>
      <c r="V8" s="68"/>
      <c r="W8" s="68"/>
      <c r="X8" s="68"/>
      <c r="Y8" s="68"/>
      <c r="Z8" s="68"/>
      <c r="AA8" s="68"/>
      <c r="AB8" s="68"/>
      <c r="AC8" s="68"/>
      <c r="AD8" s="68"/>
      <c r="AE8" s="68"/>
      <c r="AF8" s="68"/>
      <c r="AG8" s="68"/>
      <c r="AH8" s="68"/>
      <c r="AI8" s="68"/>
      <c r="AJ8" s="68"/>
      <c r="AK8" s="68"/>
      <c r="AL8" s="68"/>
      <c r="AM8" s="68"/>
      <c r="AN8" s="68"/>
      <c r="AO8" s="68"/>
      <c r="AP8" s="68"/>
      <c r="AQ8" s="68"/>
      <c r="AR8" s="68"/>
      <c r="AS8" s="68"/>
      <c r="AT8" s="68"/>
      <c r="AU8" s="68"/>
      <c r="AV8" s="68"/>
      <c r="AW8" s="68"/>
      <c r="AX8" s="68"/>
      <c r="AY8" s="73"/>
    </row>
    <row r="9" spans="1:51" ht="13.5" customHeight="1" x14ac:dyDescent="0.25">
      <c r="A9" s="91">
        <v>4</v>
      </c>
      <c r="B9" s="12" t="s">
        <v>7</v>
      </c>
      <c r="C9" s="13">
        <v>5</v>
      </c>
      <c r="D9" s="14">
        <f>Приход!$D5*2</f>
        <v>2790</v>
      </c>
      <c r="E9" s="14">
        <f>Приход!D5*$T$16</f>
        <v>1618.1999999999998</v>
      </c>
      <c r="F9" s="14">
        <f t="shared" si="0"/>
        <v>8090.9999999999991</v>
      </c>
      <c r="G9" s="14">
        <f t="shared" si="1"/>
        <v>1813.5</v>
      </c>
      <c r="H9" s="14">
        <f t="shared" si="2"/>
        <v>9067.5</v>
      </c>
      <c r="I9" s="14">
        <f>D9*0.6*Приход!C5</f>
        <v>8370</v>
      </c>
      <c r="J9" s="14">
        <f t="shared" si="3"/>
        <v>13950</v>
      </c>
      <c r="K9" s="72"/>
      <c r="L9" s="68"/>
      <c r="M9" s="68"/>
      <c r="N9" s="68"/>
      <c r="O9" s="68"/>
      <c r="P9" s="68"/>
      <c r="Q9" s="68"/>
      <c r="R9" s="68"/>
      <c r="S9" s="68"/>
      <c r="T9" s="68"/>
      <c r="U9" s="68"/>
      <c r="V9" s="68"/>
      <c r="W9" s="68"/>
      <c r="X9" s="68"/>
      <c r="Y9" s="68"/>
      <c r="Z9" s="68"/>
      <c r="AA9" s="68"/>
      <c r="AB9" s="68"/>
      <c r="AC9" s="68"/>
      <c r="AD9" s="68"/>
      <c r="AE9" s="68"/>
      <c r="AF9" s="68"/>
      <c r="AG9" s="68"/>
      <c r="AH9" s="68"/>
      <c r="AI9" s="68"/>
      <c r="AJ9" s="68"/>
      <c r="AK9" s="68"/>
      <c r="AL9" s="68"/>
      <c r="AM9" s="68"/>
      <c r="AN9" s="68"/>
      <c r="AO9" s="68"/>
      <c r="AP9" s="68"/>
      <c r="AQ9" s="68"/>
      <c r="AR9" s="68"/>
      <c r="AS9" s="68"/>
      <c r="AT9" s="68"/>
      <c r="AU9" s="68"/>
      <c r="AV9" s="68"/>
      <c r="AW9" s="68"/>
      <c r="AX9" s="68"/>
      <c r="AY9" s="73"/>
    </row>
    <row r="10" spans="1:51" ht="13.5" customHeight="1" x14ac:dyDescent="0.25">
      <c r="A10" s="91">
        <v>5</v>
      </c>
      <c r="B10" s="12" t="s">
        <v>8</v>
      </c>
      <c r="C10" s="13">
        <v>5</v>
      </c>
      <c r="D10" s="14">
        <f>Приход!$D6*2</f>
        <v>2790</v>
      </c>
      <c r="E10" s="14">
        <f>Приход!D6*$T$16</f>
        <v>1618.1999999999998</v>
      </c>
      <c r="F10" s="14">
        <f t="shared" si="0"/>
        <v>8090.9999999999991</v>
      </c>
      <c r="G10" s="14">
        <f t="shared" si="1"/>
        <v>1813.5</v>
      </c>
      <c r="H10" s="14">
        <f t="shared" si="2"/>
        <v>9067.5</v>
      </c>
      <c r="I10" s="14">
        <f>D10*0.6*Приход!C6</f>
        <v>8370</v>
      </c>
      <c r="J10" s="14">
        <f t="shared" si="3"/>
        <v>13950</v>
      </c>
      <c r="K10" s="72"/>
      <c r="L10" s="68"/>
      <c r="M10" s="68"/>
      <c r="N10" s="68"/>
      <c r="O10" s="68"/>
      <c r="P10" s="68"/>
      <c r="Q10" s="68"/>
      <c r="R10" s="68"/>
      <c r="S10" s="105" t="s">
        <v>65</v>
      </c>
      <c r="T10" s="104">
        <f>SUM(F6:F66)</f>
        <v>704535.28000000014</v>
      </c>
      <c r="U10" s="68"/>
      <c r="V10" s="68"/>
      <c r="W10" s="68"/>
      <c r="X10" s="68"/>
      <c r="Y10" s="68"/>
      <c r="Z10" s="68"/>
      <c r="AA10" s="68"/>
      <c r="AB10" s="68"/>
      <c r="AC10" s="68"/>
      <c r="AD10" s="68"/>
      <c r="AE10" s="68"/>
      <c r="AF10" s="68"/>
      <c r="AG10" s="68"/>
      <c r="AH10" s="68"/>
      <c r="AI10" s="68"/>
      <c r="AJ10" s="68"/>
      <c r="AK10" s="68"/>
      <c r="AL10" s="68"/>
      <c r="AM10" s="68"/>
      <c r="AN10" s="68"/>
      <c r="AO10" s="68"/>
      <c r="AP10" s="68"/>
      <c r="AQ10" s="68"/>
      <c r="AR10" s="68"/>
      <c r="AS10" s="68"/>
      <c r="AT10" s="68"/>
      <c r="AU10" s="68"/>
      <c r="AV10" s="68"/>
      <c r="AW10" s="68"/>
      <c r="AX10" s="68"/>
      <c r="AY10" s="73"/>
    </row>
    <row r="11" spans="1:51" ht="13.5" customHeight="1" x14ac:dyDescent="0.25">
      <c r="A11" s="91">
        <v>6</v>
      </c>
      <c r="B11" s="12" t="s">
        <v>9</v>
      </c>
      <c r="C11" s="13">
        <v>5</v>
      </c>
      <c r="D11" s="14">
        <f>Приход!$D7*2</f>
        <v>1590</v>
      </c>
      <c r="E11" s="14">
        <f>Приход!D7*$T$16</f>
        <v>922.19999999999993</v>
      </c>
      <c r="F11" s="14">
        <f t="shared" si="0"/>
        <v>4611</v>
      </c>
      <c r="G11" s="14">
        <f t="shared" si="1"/>
        <v>1033.5</v>
      </c>
      <c r="H11" s="14">
        <f t="shared" si="2"/>
        <v>5167.5</v>
      </c>
      <c r="I11" s="14">
        <f>D11*0.6*Приход!C7</f>
        <v>4770</v>
      </c>
      <c r="J11" s="14">
        <f t="shared" si="3"/>
        <v>7950</v>
      </c>
      <c r="K11" s="72"/>
      <c r="L11" s="68"/>
      <c r="M11" s="68"/>
      <c r="N11" s="68"/>
      <c r="O11" s="68"/>
      <c r="P11" s="68"/>
      <c r="Q11" s="68"/>
      <c r="R11" s="68"/>
      <c r="S11" s="105" t="s">
        <v>76</v>
      </c>
      <c r="T11" s="104">
        <f>T7-T10</f>
        <v>85030.119999999879</v>
      </c>
      <c r="U11" s="68"/>
      <c r="V11" s="68"/>
      <c r="W11" s="68"/>
      <c r="X11" s="68"/>
      <c r="Y11" s="68"/>
      <c r="Z11" s="68"/>
      <c r="AA11" s="68"/>
      <c r="AB11" s="68"/>
      <c r="AC11" s="68"/>
      <c r="AD11" s="68"/>
      <c r="AE11" s="68"/>
      <c r="AF11" s="68"/>
      <c r="AG11" s="68"/>
      <c r="AH11" s="68"/>
      <c r="AI11" s="68"/>
      <c r="AJ11" s="68"/>
      <c r="AK11" s="68"/>
      <c r="AL11" s="68"/>
      <c r="AM11" s="68"/>
      <c r="AN11" s="68"/>
      <c r="AO11" s="68"/>
      <c r="AP11" s="68"/>
      <c r="AQ11" s="68"/>
      <c r="AR11" s="68"/>
      <c r="AS11" s="68"/>
      <c r="AT11" s="68"/>
      <c r="AU11" s="68"/>
      <c r="AV11" s="68"/>
      <c r="AW11" s="68"/>
      <c r="AX11" s="68"/>
      <c r="AY11" s="73"/>
    </row>
    <row r="12" spans="1:51" ht="13.5" customHeight="1" x14ac:dyDescent="0.25">
      <c r="A12" s="91">
        <v>7</v>
      </c>
      <c r="B12" s="12" t="s">
        <v>10</v>
      </c>
      <c r="C12" s="13">
        <v>10</v>
      </c>
      <c r="D12" s="14">
        <f>Приход!$D8*2</f>
        <v>2090</v>
      </c>
      <c r="E12" s="14">
        <f>Приход!D8*$T$16</f>
        <v>1212.1999999999998</v>
      </c>
      <c r="F12" s="14">
        <f t="shared" si="0"/>
        <v>12121.999999999998</v>
      </c>
      <c r="G12" s="14">
        <f t="shared" si="1"/>
        <v>1358.5</v>
      </c>
      <c r="H12" s="14">
        <f t="shared" si="2"/>
        <v>13585</v>
      </c>
      <c r="I12" s="14">
        <f>D12*0.6*Приход!C8</f>
        <v>12540</v>
      </c>
      <c r="J12" s="14">
        <f t="shared" si="3"/>
        <v>20900</v>
      </c>
      <c r="K12" s="72"/>
      <c r="L12" s="68"/>
      <c r="M12" s="68"/>
      <c r="N12" s="68"/>
      <c r="O12" s="68"/>
      <c r="P12" s="68"/>
      <c r="Q12" s="68"/>
      <c r="R12" s="68"/>
      <c r="S12" s="68"/>
      <c r="T12" s="68"/>
      <c r="U12" s="68"/>
      <c r="V12" s="68"/>
      <c r="W12" s="68"/>
      <c r="X12" s="68"/>
      <c r="Y12" s="68"/>
      <c r="Z12" s="68"/>
      <c r="AA12" s="68"/>
      <c r="AB12" s="68"/>
      <c r="AC12" s="68"/>
      <c r="AD12" s="68"/>
      <c r="AE12" s="68"/>
      <c r="AF12" s="68"/>
      <c r="AG12" s="68"/>
      <c r="AH12" s="68"/>
      <c r="AI12" s="68"/>
      <c r="AJ12" s="68"/>
      <c r="AK12" s="68"/>
      <c r="AL12" s="68"/>
      <c r="AM12" s="68"/>
      <c r="AN12" s="68"/>
      <c r="AO12" s="68"/>
      <c r="AP12" s="68"/>
      <c r="AQ12" s="68"/>
      <c r="AR12" s="68"/>
      <c r="AS12" s="68"/>
      <c r="AT12" s="68"/>
      <c r="AU12" s="68"/>
      <c r="AV12" s="68"/>
      <c r="AW12" s="68"/>
      <c r="AX12" s="68"/>
      <c r="AY12" s="73"/>
    </row>
    <row r="13" spans="1:51" ht="13.5" customHeight="1" x14ac:dyDescent="0.25">
      <c r="A13" s="91">
        <v>8</v>
      </c>
      <c r="B13" s="12" t="s">
        <v>11</v>
      </c>
      <c r="C13" s="13">
        <v>10</v>
      </c>
      <c r="D13" s="14">
        <f>Приход!$D9*2</f>
        <v>2590</v>
      </c>
      <c r="E13" s="14">
        <f>Приход!D9*$T$16</f>
        <v>1502.1999999999998</v>
      </c>
      <c r="F13" s="14">
        <f t="shared" si="0"/>
        <v>15021.999999999998</v>
      </c>
      <c r="G13" s="14">
        <f t="shared" si="1"/>
        <v>1683.5</v>
      </c>
      <c r="H13" s="14">
        <f t="shared" si="2"/>
        <v>16835</v>
      </c>
      <c r="I13" s="14">
        <f>D13*0.6*Приход!C9</f>
        <v>15540</v>
      </c>
      <c r="J13" s="14">
        <f t="shared" si="3"/>
        <v>25900</v>
      </c>
      <c r="K13" s="72"/>
      <c r="L13" s="68"/>
      <c r="M13" s="68"/>
      <c r="N13" s="68"/>
      <c r="O13" s="68"/>
      <c r="P13" s="68"/>
      <c r="Q13" s="68"/>
      <c r="R13" s="68"/>
      <c r="S13" s="68"/>
      <c r="T13" s="68"/>
      <c r="U13" s="68"/>
      <c r="V13" s="68"/>
      <c r="W13" s="68"/>
      <c r="X13" s="68"/>
      <c r="Y13" s="68"/>
      <c r="Z13" s="68"/>
      <c r="AA13" s="68"/>
      <c r="AB13" s="68"/>
      <c r="AC13" s="68"/>
      <c r="AD13" s="68"/>
      <c r="AE13" s="68"/>
      <c r="AF13" s="68"/>
      <c r="AG13" s="68"/>
      <c r="AH13" s="68"/>
      <c r="AI13" s="68"/>
      <c r="AJ13" s="68"/>
      <c r="AK13" s="68"/>
      <c r="AL13" s="68"/>
      <c r="AM13" s="68"/>
      <c r="AN13" s="68"/>
      <c r="AO13" s="68"/>
      <c r="AP13" s="68"/>
      <c r="AQ13" s="68"/>
      <c r="AR13" s="68"/>
      <c r="AS13" s="68"/>
      <c r="AT13" s="68"/>
      <c r="AU13" s="68"/>
      <c r="AV13" s="68"/>
      <c r="AW13" s="68"/>
      <c r="AX13" s="68"/>
      <c r="AY13" s="73"/>
    </row>
    <row r="14" spans="1:51" ht="13.5" customHeight="1" x14ac:dyDescent="0.25">
      <c r="A14" s="91">
        <v>9</v>
      </c>
      <c r="B14" s="12" t="s">
        <v>12</v>
      </c>
      <c r="C14" s="13">
        <v>10</v>
      </c>
      <c r="D14" s="14">
        <f>Приход!$D10*2</f>
        <v>2490</v>
      </c>
      <c r="E14" s="14">
        <f>Приход!D10*$T$16</f>
        <v>1444.1999999999998</v>
      </c>
      <c r="F14" s="14">
        <f t="shared" si="0"/>
        <v>14441.999999999998</v>
      </c>
      <c r="G14" s="14">
        <f t="shared" si="1"/>
        <v>1618.5</v>
      </c>
      <c r="H14" s="14">
        <f t="shared" si="2"/>
        <v>16185</v>
      </c>
      <c r="I14" s="14">
        <f>D14*0.6*Приход!C10</f>
        <v>14940</v>
      </c>
      <c r="J14" s="14">
        <f t="shared" si="3"/>
        <v>24900</v>
      </c>
      <c r="K14" s="72"/>
      <c r="L14" s="68"/>
      <c r="M14" s="68"/>
      <c r="N14" s="68"/>
      <c r="O14" s="68"/>
      <c r="P14" s="68"/>
      <c r="Q14" s="68"/>
      <c r="R14" s="68"/>
      <c r="S14" s="68"/>
      <c r="T14" s="68"/>
      <c r="U14" s="68"/>
      <c r="V14" s="68"/>
      <c r="W14" s="68"/>
      <c r="X14" s="68"/>
      <c r="Y14" s="68"/>
      <c r="Z14" s="68"/>
      <c r="AA14" s="68"/>
      <c r="AB14" s="68"/>
      <c r="AC14" s="68"/>
      <c r="AD14" s="68"/>
      <c r="AE14" s="68"/>
      <c r="AF14" s="68"/>
      <c r="AG14" s="68"/>
      <c r="AH14" s="68"/>
      <c r="AI14" s="68"/>
      <c r="AJ14" s="68"/>
      <c r="AK14" s="68"/>
      <c r="AL14" s="68"/>
      <c r="AM14" s="68"/>
      <c r="AN14" s="68"/>
      <c r="AO14" s="68"/>
      <c r="AP14" s="68"/>
      <c r="AQ14" s="68"/>
      <c r="AR14" s="68"/>
      <c r="AS14" s="68"/>
      <c r="AT14" s="68"/>
      <c r="AU14" s="68"/>
      <c r="AV14" s="68"/>
      <c r="AW14" s="68"/>
      <c r="AX14" s="68"/>
      <c r="AY14" s="73"/>
    </row>
    <row r="15" spans="1:51" ht="13.5" customHeight="1" x14ac:dyDescent="0.25">
      <c r="A15" s="91">
        <v>10</v>
      </c>
      <c r="B15" s="12" t="s">
        <v>13</v>
      </c>
      <c r="C15" s="13">
        <v>1</v>
      </c>
      <c r="D15" s="14">
        <f>Приход!$D11*2</f>
        <v>4590</v>
      </c>
      <c r="E15" s="14">
        <f>Приход!D11*$T$16</f>
        <v>2662.2</v>
      </c>
      <c r="F15" s="14">
        <f t="shared" si="0"/>
        <v>2662.2</v>
      </c>
      <c r="G15" s="14">
        <f t="shared" si="1"/>
        <v>2983.5</v>
      </c>
      <c r="H15" s="14">
        <f t="shared" si="2"/>
        <v>2983.5</v>
      </c>
      <c r="I15" s="14">
        <f>D15*0.6*Приход!C11</f>
        <v>2754</v>
      </c>
      <c r="J15" s="14">
        <f t="shared" si="3"/>
        <v>4590</v>
      </c>
      <c r="K15" s="72"/>
      <c r="L15" s="68"/>
      <c r="M15" s="68"/>
      <c r="N15" s="68"/>
      <c r="O15" s="68"/>
      <c r="P15" s="68"/>
      <c r="Q15" s="68"/>
      <c r="R15" s="68"/>
      <c r="S15" s="105" t="s">
        <v>66</v>
      </c>
      <c r="T15" s="161">
        <v>0.65</v>
      </c>
      <c r="U15" s="68"/>
      <c r="V15" s="68"/>
      <c r="W15" s="68"/>
      <c r="X15" s="68"/>
      <c r="Y15" s="68"/>
      <c r="Z15" s="68"/>
      <c r="AA15" s="68"/>
      <c r="AB15" s="68"/>
      <c r="AC15" s="68"/>
      <c r="AD15" s="68"/>
      <c r="AE15" s="68"/>
      <c r="AF15" s="68"/>
      <c r="AG15" s="68"/>
      <c r="AH15" s="68"/>
      <c r="AI15" s="68"/>
      <c r="AJ15" s="68"/>
      <c r="AK15" s="68"/>
      <c r="AL15" s="68"/>
      <c r="AM15" s="68"/>
      <c r="AN15" s="68"/>
      <c r="AO15" s="68"/>
      <c r="AP15" s="68"/>
      <c r="AQ15" s="68"/>
      <c r="AR15" s="68"/>
      <c r="AS15" s="68"/>
      <c r="AT15" s="68"/>
      <c r="AU15" s="68"/>
      <c r="AV15" s="68"/>
      <c r="AW15" s="68"/>
      <c r="AX15" s="68"/>
      <c r="AY15" s="73"/>
    </row>
    <row r="16" spans="1:51" ht="13.5" customHeight="1" x14ac:dyDescent="0.25">
      <c r="A16" s="91">
        <v>11</v>
      </c>
      <c r="B16" s="12" t="s">
        <v>14</v>
      </c>
      <c r="C16" s="13">
        <v>2</v>
      </c>
      <c r="D16" s="14">
        <f>Приход!$D12*2</f>
        <v>4390</v>
      </c>
      <c r="E16" s="14">
        <f>Приход!D12*$T$16</f>
        <v>2546.1999999999998</v>
      </c>
      <c r="F16" s="14">
        <f t="shared" si="0"/>
        <v>5092.3999999999996</v>
      </c>
      <c r="G16" s="14">
        <f t="shared" si="1"/>
        <v>2853.5</v>
      </c>
      <c r="H16" s="14">
        <f t="shared" si="2"/>
        <v>5707</v>
      </c>
      <c r="I16" s="14">
        <f>D16*0.6*Приход!C12</f>
        <v>5268</v>
      </c>
      <c r="J16" s="14">
        <f t="shared" si="3"/>
        <v>8780</v>
      </c>
      <c r="K16" s="72"/>
      <c r="L16" s="68"/>
      <c r="M16" s="68"/>
      <c r="N16" s="68"/>
      <c r="O16" s="68"/>
      <c r="P16" s="68"/>
      <c r="Q16" s="68"/>
      <c r="R16" s="68"/>
      <c r="S16" s="105" t="s">
        <v>77</v>
      </c>
      <c r="T16" s="106">
        <v>1.1599999999999999</v>
      </c>
      <c r="U16" s="68"/>
      <c r="V16" s="68"/>
      <c r="W16" s="68"/>
      <c r="X16" s="68"/>
      <c r="Y16" s="68"/>
      <c r="Z16" s="68"/>
      <c r="AA16" s="68"/>
      <c r="AB16" s="68"/>
      <c r="AC16" s="68"/>
      <c r="AD16" s="68"/>
      <c r="AE16" s="68"/>
      <c r="AF16" s="68"/>
      <c r="AG16" s="68"/>
      <c r="AH16" s="68"/>
      <c r="AI16" s="68"/>
      <c r="AJ16" s="68"/>
      <c r="AK16" s="68"/>
      <c r="AL16" s="68"/>
      <c r="AM16" s="68"/>
      <c r="AN16" s="68"/>
      <c r="AO16" s="68"/>
      <c r="AP16" s="68"/>
      <c r="AQ16" s="68"/>
      <c r="AR16" s="68"/>
      <c r="AS16" s="68"/>
      <c r="AT16" s="68"/>
      <c r="AU16" s="68"/>
      <c r="AV16" s="68"/>
      <c r="AW16" s="68"/>
      <c r="AX16" s="68"/>
      <c r="AY16" s="73"/>
    </row>
    <row r="17" spans="1:51" ht="13.5" customHeight="1" x14ac:dyDescent="0.25">
      <c r="A17" s="91">
        <v>12</v>
      </c>
      <c r="B17" s="12" t="s">
        <v>15</v>
      </c>
      <c r="C17" s="13">
        <v>1</v>
      </c>
      <c r="D17" s="14">
        <f>Приход!$D13*2</f>
        <v>5190</v>
      </c>
      <c r="E17" s="14">
        <f>Приход!D13*$T$16</f>
        <v>3010.2</v>
      </c>
      <c r="F17" s="14">
        <f t="shared" si="0"/>
        <v>3010.2</v>
      </c>
      <c r="G17" s="14">
        <f t="shared" si="1"/>
        <v>3373.5</v>
      </c>
      <c r="H17" s="14">
        <f t="shared" si="2"/>
        <v>3373.5</v>
      </c>
      <c r="I17" s="14">
        <f>D17*0.6*Приход!C13</f>
        <v>3114</v>
      </c>
      <c r="J17" s="14">
        <f t="shared" si="3"/>
        <v>5190</v>
      </c>
      <c r="K17" s="72"/>
      <c r="L17" s="68"/>
      <c r="M17" s="68"/>
      <c r="N17" s="68"/>
      <c r="O17" s="68"/>
      <c r="P17" s="68"/>
      <c r="Q17" s="68"/>
      <c r="R17" s="68"/>
      <c r="S17" s="68"/>
      <c r="T17" s="68"/>
      <c r="U17" s="68"/>
      <c r="V17" s="68"/>
      <c r="W17" s="68"/>
      <c r="X17" s="68"/>
      <c r="Y17" s="68"/>
      <c r="Z17" s="68"/>
      <c r="AA17" s="68"/>
      <c r="AB17" s="68"/>
      <c r="AC17" s="68"/>
      <c r="AD17" s="68"/>
      <c r="AE17" s="68"/>
      <c r="AF17" s="68"/>
      <c r="AG17" s="68"/>
      <c r="AH17" s="68"/>
      <c r="AI17" s="68"/>
      <c r="AJ17" s="68"/>
      <c r="AK17" s="68"/>
      <c r="AL17" s="68"/>
      <c r="AM17" s="68"/>
      <c r="AN17" s="68"/>
      <c r="AO17" s="68"/>
      <c r="AP17" s="68"/>
      <c r="AQ17" s="68"/>
      <c r="AR17" s="68"/>
      <c r="AS17" s="68"/>
      <c r="AT17" s="68"/>
      <c r="AU17" s="68"/>
      <c r="AV17" s="68"/>
      <c r="AW17" s="68"/>
      <c r="AX17" s="68"/>
      <c r="AY17" s="73"/>
    </row>
    <row r="18" spans="1:51" ht="13.5" customHeight="1" x14ac:dyDescent="0.25">
      <c r="A18" s="91">
        <v>13</v>
      </c>
      <c r="B18" s="12" t="s">
        <v>16</v>
      </c>
      <c r="C18" s="13">
        <v>4</v>
      </c>
      <c r="D18" s="14">
        <f>Приход!$D14*2</f>
        <v>7790</v>
      </c>
      <c r="E18" s="14">
        <f>Приход!D14*$T$16</f>
        <v>4518.2</v>
      </c>
      <c r="F18" s="14">
        <f t="shared" si="0"/>
        <v>18072.8</v>
      </c>
      <c r="G18" s="14">
        <f t="shared" si="1"/>
        <v>5063.5</v>
      </c>
      <c r="H18" s="14">
        <f t="shared" si="2"/>
        <v>20254</v>
      </c>
      <c r="I18" s="14">
        <f>D18*0.6*Приход!C14</f>
        <v>18696</v>
      </c>
      <c r="J18" s="14">
        <f t="shared" si="3"/>
        <v>31160</v>
      </c>
      <c r="K18" s="72"/>
      <c r="L18" s="68"/>
      <c r="M18" s="68"/>
      <c r="N18" s="68"/>
      <c r="O18" s="68"/>
      <c r="P18" s="68"/>
      <c r="Q18" s="68"/>
      <c r="R18" s="68"/>
      <c r="S18" s="68"/>
      <c r="T18" s="68"/>
      <c r="U18" s="68"/>
      <c r="V18" s="68"/>
      <c r="W18" s="68"/>
      <c r="X18" s="68"/>
      <c r="Y18" s="68"/>
      <c r="Z18" s="68"/>
      <c r="AA18" s="68"/>
      <c r="AB18" s="68"/>
      <c r="AC18" s="68"/>
      <c r="AD18" s="68"/>
      <c r="AE18" s="68"/>
      <c r="AF18" s="68"/>
      <c r="AG18" s="68"/>
      <c r="AH18" s="68"/>
      <c r="AI18" s="68"/>
      <c r="AJ18" s="68"/>
      <c r="AK18" s="68"/>
      <c r="AL18" s="68"/>
      <c r="AM18" s="68"/>
      <c r="AN18" s="68"/>
      <c r="AO18" s="68"/>
      <c r="AP18" s="68"/>
      <c r="AQ18" s="68"/>
      <c r="AR18" s="68"/>
      <c r="AS18" s="68"/>
      <c r="AT18" s="68"/>
      <c r="AU18" s="68"/>
      <c r="AV18" s="68"/>
      <c r="AW18" s="68"/>
      <c r="AX18" s="68"/>
      <c r="AY18" s="73"/>
    </row>
    <row r="19" spans="1:51" ht="13.5" customHeight="1" x14ac:dyDescent="0.25">
      <c r="A19" s="91">
        <v>14</v>
      </c>
      <c r="B19" s="12" t="s">
        <v>17</v>
      </c>
      <c r="C19" s="13">
        <v>3</v>
      </c>
      <c r="D19" s="14">
        <f>Приход!$D15*2</f>
        <v>10590</v>
      </c>
      <c r="E19" s="14">
        <f>Приход!D15*$T$16</f>
        <v>6142.2</v>
      </c>
      <c r="F19" s="14">
        <f t="shared" si="0"/>
        <v>18426.599999999999</v>
      </c>
      <c r="G19" s="14">
        <f t="shared" si="1"/>
        <v>6883.5</v>
      </c>
      <c r="H19" s="14">
        <f t="shared" si="2"/>
        <v>20650.5</v>
      </c>
      <c r="I19" s="14">
        <f>D19*0.6*Приход!C15</f>
        <v>19062</v>
      </c>
      <c r="J19" s="14">
        <f t="shared" si="3"/>
        <v>31770</v>
      </c>
      <c r="K19" s="72"/>
      <c r="L19" s="68"/>
      <c r="M19" s="68"/>
      <c r="N19" s="68"/>
      <c r="O19" s="68"/>
      <c r="P19" s="68"/>
      <c r="Q19" s="68"/>
      <c r="R19" s="68"/>
      <c r="S19" s="68"/>
      <c r="T19" s="68"/>
      <c r="U19" s="68"/>
      <c r="V19" s="68"/>
      <c r="W19" s="68"/>
      <c r="X19" s="68"/>
      <c r="Y19" s="68"/>
      <c r="Z19" s="68"/>
      <c r="AA19" s="68"/>
      <c r="AB19" s="68"/>
      <c r="AC19" s="68"/>
      <c r="AD19" s="68"/>
      <c r="AE19" s="68"/>
      <c r="AF19" s="68"/>
      <c r="AG19" s="68"/>
      <c r="AH19" s="68"/>
      <c r="AI19" s="68"/>
      <c r="AJ19" s="68"/>
      <c r="AK19" s="68"/>
      <c r="AL19" s="68"/>
      <c r="AM19" s="68"/>
      <c r="AN19" s="68"/>
      <c r="AO19" s="68"/>
      <c r="AP19" s="68"/>
      <c r="AQ19" s="68"/>
      <c r="AR19" s="68"/>
      <c r="AS19" s="68"/>
      <c r="AT19" s="68"/>
      <c r="AU19" s="68"/>
      <c r="AV19" s="68"/>
      <c r="AW19" s="68"/>
      <c r="AX19" s="68"/>
      <c r="AY19" s="73"/>
    </row>
    <row r="20" spans="1:51" ht="13.5" customHeight="1" x14ac:dyDescent="0.25">
      <c r="A20" s="91">
        <v>15</v>
      </c>
      <c r="B20" s="12" t="s">
        <v>18</v>
      </c>
      <c r="C20" s="13">
        <v>1</v>
      </c>
      <c r="D20" s="14">
        <f>Приход!$D16*2</f>
        <v>5490</v>
      </c>
      <c r="E20" s="14">
        <f>Приход!D16*$T$16</f>
        <v>3184.2</v>
      </c>
      <c r="F20" s="14">
        <f t="shared" si="0"/>
        <v>3184.2</v>
      </c>
      <c r="G20" s="14">
        <f t="shared" si="1"/>
        <v>3568.5</v>
      </c>
      <c r="H20" s="14">
        <f t="shared" si="2"/>
        <v>3568.5</v>
      </c>
      <c r="I20" s="14">
        <f>D20*0.6*Приход!C16</f>
        <v>3294</v>
      </c>
      <c r="J20" s="14">
        <f t="shared" si="3"/>
        <v>5490</v>
      </c>
      <c r="K20" s="72"/>
      <c r="L20" s="68"/>
      <c r="M20" s="68"/>
      <c r="N20" s="68"/>
      <c r="O20" s="68"/>
      <c r="P20" s="68"/>
      <c r="Q20" s="68"/>
      <c r="R20" s="68"/>
      <c r="S20" s="68"/>
      <c r="T20" s="68"/>
      <c r="U20" s="68"/>
      <c r="V20" s="68"/>
      <c r="W20" s="68"/>
      <c r="X20" s="68"/>
      <c r="Y20" s="68"/>
      <c r="Z20" s="68"/>
      <c r="AA20" s="68"/>
      <c r="AB20" s="68"/>
      <c r="AC20" s="68"/>
      <c r="AD20" s="68"/>
      <c r="AE20" s="68"/>
      <c r="AF20" s="68"/>
      <c r="AG20" s="68"/>
      <c r="AH20" s="68"/>
      <c r="AI20" s="68"/>
      <c r="AJ20" s="68"/>
      <c r="AK20" s="68"/>
      <c r="AL20" s="68"/>
      <c r="AM20" s="68"/>
      <c r="AN20" s="68"/>
      <c r="AO20" s="68"/>
      <c r="AP20" s="68"/>
      <c r="AQ20" s="68"/>
      <c r="AR20" s="68"/>
      <c r="AS20" s="68"/>
      <c r="AT20" s="68"/>
      <c r="AU20" s="68"/>
      <c r="AV20" s="68"/>
      <c r="AW20" s="68"/>
      <c r="AX20" s="68"/>
      <c r="AY20" s="73"/>
    </row>
    <row r="21" spans="1:51" ht="13.5" customHeight="1" x14ac:dyDescent="0.25">
      <c r="A21" s="91">
        <v>16</v>
      </c>
      <c r="B21" s="12" t="s">
        <v>19</v>
      </c>
      <c r="C21" s="13">
        <v>5</v>
      </c>
      <c r="D21" s="14">
        <f>Приход!$D17*2</f>
        <v>8490</v>
      </c>
      <c r="E21" s="14">
        <f>Приход!D17*$T$16</f>
        <v>4924.2</v>
      </c>
      <c r="F21" s="14">
        <f t="shared" si="0"/>
        <v>24621</v>
      </c>
      <c r="G21" s="14">
        <f t="shared" si="1"/>
        <v>5518.5</v>
      </c>
      <c r="H21" s="14">
        <f t="shared" si="2"/>
        <v>27592.5</v>
      </c>
      <c r="I21" s="14">
        <f>D21*0.6*Приход!C17</f>
        <v>25470</v>
      </c>
      <c r="J21" s="14">
        <f t="shared" si="3"/>
        <v>42450</v>
      </c>
      <c r="K21" s="72"/>
      <c r="L21" s="68"/>
      <c r="M21" s="68"/>
      <c r="N21" s="68"/>
      <c r="O21" s="68"/>
      <c r="P21" s="68"/>
      <c r="Q21" s="68"/>
      <c r="R21" s="68"/>
      <c r="S21" s="68"/>
      <c r="T21" s="68"/>
      <c r="U21" s="68"/>
      <c r="V21" s="68"/>
      <c r="W21" s="68"/>
      <c r="X21" s="68"/>
      <c r="Y21" s="68"/>
      <c r="Z21" s="68"/>
      <c r="AA21" s="68"/>
      <c r="AB21" s="68"/>
      <c r="AC21" s="68"/>
      <c r="AD21" s="68"/>
      <c r="AE21" s="68"/>
      <c r="AF21" s="68"/>
      <c r="AG21" s="68"/>
      <c r="AH21" s="68"/>
      <c r="AI21" s="68"/>
      <c r="AJ21" s="68"/>
      <c r="AK21" s="68"/>
      <c r="AL21" s="68"/>
      <c r="AM21" s="68"/>
      <c r="AN21" s="68"/>
      <c r="AO21" s="68"/>
      <c r="AP21" s="68"/>
      <c r="AQ21" s="68"/>
      <c r="AR21" s="68"/>
      <c r="AS21" s="68"/>
      <c r="AT21" s="68"/>
      <c r="AU21" s="68"/>
      <c r="AV21" s="68"/>
      <c r="AW21" s="68"/>
      <c r="AX21" s="68"/>
      <c r="AY21" s="73"/>
    </row>
    <row r="22" spans="1:51" ht="13.5" customHeight="1" x14ac:dyDescent="0.25">
      <c r="A22" s="91">
        <v>17</v>
      </c>
      <c r="B22" s="12" t="s">
        <v>20</v>
      </c>
      <c r="C22" s="13">
        <v>3</v>
      </c>
      <c r="D22" s="14">
        <f>Приход!$D18*2</f>
        <v>12990</v>
      </c>
      <c r="E22" s="14">
        <f>Приход!D18*$T$16</f>
        <v>7534.2</v>
      </c>
      <c r="F22" s="14">
        <f t="shared" si="0"/>
        <v>22602.6</v>
      </c>
      <c r="G22" s="14">
        <f t="shared" si="1"/>
        <v>8443.5</v>
      </c>
      <c r="H22" s="14">
        <f t="shared" si="2"/>
        <v>25330.5</v>
      </c>
      <c r="I22" s="14">
        <f>D22*0.6*Приход!C18</f>
        <v>23382</v>
      </c>
      <c r="J22" s="14">
        <f t="shared" si="3"/>
        <v>38970</v>
      </c>
      <c r="K22" s="107"/>
      <c r="L22" s="77"/>
      <c r="M22" s="68"/>
      <c r="N22" s="68"/>
      <c r="O22" s="68"/>
      <c r="P22" s="68"/>
      <c r="Q22" s="68"/>
      <c r="R22" s="68"/>
      <c r="S22" s="68"/>
      <c r="T22" s="68"/>
      <c r="U22" s="68"/>
      <c r="V22" s="68"/>
      <c r="W22" s="68"/>
      <c r="X22" s="68"/>
      <c r="Y22" s="68"/>
      <c r="Z22" s="68"/>
      <c r="AA22" s="68"/>
      <c r="AB22" s="68"/>
      <c r="AC22" s="68"/>
      <c r="AD22" s="68"/>
      <c r="AE22" s="68"/>
      <c r="AF22" s="68"/>
      <c r="AG22" s="68"/>
      <c r="AH22" s="68"/>
      <c r="AI22" s="68"/>
      <c r="AJ22" s="68"/>
      <c r="AK22" s="68"/>
      <c r="AL22" s="68"/>
      <c r="AM22" s="68"/>
      <c r="AN22" s="68"/>
      <c r="AO22" s="68"/>
      <c r="AP22" s="68"/>
      <c r="AQ22" s="68"/>
      <c r="AR22" s="68"/>
      <c r="AS22" s="68"/>
      <c r="AT22" s="68"/>
      <c r="AU22" s="68"/>
      <c r="AV22" s="68"/>
      <c r="AW22" s="68"/>
      <c r="AX22" s="68"/>
      <c r="AY22" s="73"/>
    </row>
    <row r="23" spans="1:51" ht="13.5" customHeight="1" x14ac:dyDescent="0.25">
      <c r="A23" s="108"/>
      <c r="B23" s="109"/>
      <c r="C23" s="95"/>
      <c r="D23" s="110"/>
      <c r="E23" s="111">
        <f>Приход!D19*$T$16</f>
        <v>0</v>
      </c>
      <c r="F23" s="111">
        <f t="shared" si="0"/>
        <v>0</v>
      </c>
      <c r="G23" s="111">
        <f t="shared" si="1"/>
        <v>0</v>
      </c>
      <c r="H23" s="95"/>
      <c r="I23" s="95"/>
      <c r="J23" s="112"/>
      <c r="K23" s="26" t="s">
        <v>0</v>
      </c>
      <c r="L23" s="27">
        <f>SUM(J24:J41)</f>
        <v>287326</v>
      </c>
      <c r="M23" s="113" t="s">
        <v>69</v>
      </c>
      <c r="N23" s="114">
        <f>SUM(I24:I41)</f>
        <v>172395.6</v>
      </c>
      <c r="O23" s="115" t="s">
        <v>70</v>
      </c>
      <c r="P23" s="116">
        <f>SUM(H24:H41)</f>
        <v>186761.9</v>
      </c>
      <c r="Q23" s="72"/>
      <c r="R23" s="68"/>
      <c r="S23" s="68"/>
      <c r="T23" s="68"/>
      <c r="U23" s="68"/>
      <c r="V23" s="68"/>
      <c r="W23" s="68"/>
      <c r="X23" s="68"/>
      <c r="Y23" s="68"/>
      <c r="Z23" s="68"/>
      <c r="AA23" s="68"/>
      <c r="AB23" s="68"/>
      <c r="AC23" s="68"/>
      <c r="AD23" s="68"/>
      <c r="AE23" s="68"/>
      <c r="AF23" s="68"/>
      <c r="AG23" s="68"/>
      <c r="AH23" s="68"/>
      <c r="AI23" s="68"/>
      <c r="AJ23" s="68"/>
      <c r="AK23" s="68"/>
      <c r="AL23" s="68"/>
      <c r="AM23" s="68"/>
      <c r="AN23" s="68"/>
      <c r="AO23" s="68"/>
      <c r="AP23" s="68"/>
      <c r="AQ23" s="68"/>
      <c r="AR23" s="68"/>
      <c r="AS23" s="68"/>
      <c r="AT23" s="68"/>
      <c r="AU23" s="68"/>
      <c r="AV23" s="68"/>
      <c r="AW23" s="68"/>
      <c r="AX23" s="68"/>
      <c r="AY23" s="73"/>
    </row>
    <row r="24" spans="1:51" ht="15" customHeight="1" x14ac:dyDescent="0.25">
      <c r="A24" s="117">
        <v>18</v>
      </c>
      <c r="B24" s="29" t="s">
        <v>21</v>
      </c>
      <c r="C24" s="30">
        <v>3</v>
      </c>
      <c r="D24" s="14">
        <f>Приход!$D20*2</f>
        <v>8600</v>
      </c>
      <c r="E24" s="14">
        <f>Приход!D20*$T$16</f>
        <v>4988</v>
      </c>
      <c r="F24" s="13">
        <f t="shared" si="0"/>
        <v>14964</v>
      </c>
      <c r="G24" s="14">
        <f t="shared" si="1"/>
        <v>5590</v>
      </c>
      <c r="H24" s="13">
        <f t="shared" ref="H24:H41" si="4">G24*C24</f>
        <v>16770</v>
      </c>
      <c r="I24" s="13">
        <f>D24*0.6*Приход!C20</f>
        <v>15480</v>
      </c>
      <c r="J24" s="31">
        <f t="shared" ref="J24:J41" si="5">C24*D24</f>
        <v>25800</v>
      </c>
      <c r="K24" s="118"/>
      <c r="L24" s="119"/>
      <c r="M24" s="120"/>
      <c r="N24" s="120"/>
      <c r="O24" s="121"/>
      <c r="P24" s="121"/>
      <c r="Q24" s="120"/>
      <c r="R24" s="120"/>
      <c r="S24" s="120"/>
      <c r="T24" s="68"/>
      <c r="U24" s="68"/>
      <c r="V24" s="68"/>
      <c r="W24" s="68"/>
      <c r="X24" s="68"/>
      <c r="Y24" s="68"/>
      <c r="Z24" s="68"/>
      <c r="AA24" s="68"/>
      <c r="AB24" s="68"/>
      <c r="AC24" s="68"/>
      <c r="AD24" s="68"/>
      <c r="AE24" s="68"/>
      <c r="AF24" s="68"/>
      <c r="AG24" s="68"/>
      <c r="AH24" s="68"/>
      <c r="AI24" s="68"/>
      <c r="AJ24" s="68"/>
      <c r="AK24" s="68"/>
      <c r="AL24" s="68"/>
      <c r="AM24" s="68"/>
      <c r="AN24" s="68"/>
      <c r="AO24" s="68"/>
      <c r="AP24" s="68"/>
      <c r="AQ24" s="68"/>
      <c r="AR24" s="68"/>
      <c r="AS24" s="68"/>
      <c r="AT24" s="68"/>
      <c r="AU24" s="68"/>
      <c r="AV24" s="68"/>
      <c r="AW24" s="68"/>
      <c r="AX24" s="68"/>
      <c r="AY24" s="73"/>
    </row>
    <row r="25" spans="1:51" ht="15" customHeight="1" x14ac:dyDescent="0.25">
      <c r="A25" s="117">
        <v>19</v>
      </c>
      <c r="B25" s="29" t="s">
        <v>22</v>
      </c>
      <c r="C25" s="30">
        <v>2</v>
      </c>
      <c r="D25" s="14">
        <f>Приход!$D21*2</f>
        <v>9400</v>
      </c>
      <c r="E25" s="14">
        <f>Приход!D21*$T$16</f>
        <v>5452</v>
      </c>
      <c r="F25" s="13">
        <f t="shared" si="0"/>
        <v>10904</v>
      </c>
      <c r="G25" s="14">
        <f t="shared" si="1"/>
        <v>6110</v>
      </c>
      <c r="H25" s="13">
        <f t="shared" si="4"/>
        <v>12220</v>
      </c>
      <c r="I25" s="13">
        <f>D25*0.6*Приход!C21</f>
        <v>11280</v>
      </c>
      <c r="J25" s="31">
        <f t="shared" si="5"/>
        <v>18800</v>
      </c>
      <c r="K25" s="122"/>
      <c r="L25" s="123"/>
      <c r="M25" s="120"/>
      <c r="N25" s="120"/>
      <c r="O25" s="120"/>
      <c r="P25" s="120"/>
      <c r="Q25" s="120"/>
      <c r="R25" s="120"/>
      <c r="S25" s="120"/>
      <c r="T25" s="124"/>
      <c r="U25" s="124"/>
      <c r="V25" s="124"/>
      <c r="W25" s="124"/>
      <c r="X25" s="124"/>
      <c r="Y25" s="124"/>
      <c r="Z25" s="124"/>
      <c r="AA25" s="124"/>
      <c r="AB25" s="124"/>
      <c r="AC25" s="124"/>
      <c r="AD25" s="124"/>
      <c r="AE25" s="124"/>
      <c r="AF25" s="124"/>
      <c r="AG25" s="124"/>
      <c r="AH25" s="124"/>
      <c r="AI25" s="124"/>
      <c r="AJ25" s="124"/>
      <c r="AK25" s="124"/>
      <c r="AL25" s="124"/>
      <c r="AM25" s="124"/>
      <c r="AN25" s="124"/>
      <c r="AO25" s="124"/>
      <c r="AP25" s="124"/>
      <c r="AQ25" s="124"/>
      <c r="AR25" s="124"/>
      <c r="AS25" s="124"/>
      <c r="AT25" s="124"/>
      <c r="AU25" s="124"/>
      <c r="AV25" s="124"/>
      <c r="AW25" s="124"/>
      <c r="AX25" s="124"/>
      <c r="AY25" s="125"/>
    </row>
    <row r="26" spans="1:51" ht="15" customHeight="1" x14ac:dyDescent="0.25">
      <c r="A26" s="117">
        <v>20</v>
      </c>
      <c r="B26" s="29" t="s">
        <v>23</v>
      </c>
      <c r="C26" s="30">
        <v>5</v>
      </c>
      <c r="D26" s="14">
        <f>Приход!$D22*2</f>
        <v>7000</v>
      </c>
      <c r="E26" s="14">
        <f>Приход!D22*$T$16</f>
        <v>4059.9999999999995</v>
      </c>
      <c r="F26" s="13">
        <f t="shared" si="0"/>
        <v>20299.999999999996</v>
      </c>
      <c r="G26" s="14">
        <f t="shared" si="1"/>
        <v>4550</v>
      </c>
      <c r="H26" s="13">
        <f t="shared" si="4"/>
        <v>22750</v>
      </c>
      <c r="I26" s="13">
        <f>D26*0.6*Приход!C22</f>
        <v>21000</v>
      </c>
      <c r="J26" s="31">
        <f t="shared" si="5"/>
        <v>35000</v>
      </c>
      <c r="K26" s="122"/>
      <c r="L26" s="123"/>
      <c r="M26" s="120"/>
      <c r="N26" s="120"/>
      <c r="O26" s="120"/>
      <c r="P26" s="120"/>
      <c r="Q26" s="120"/>
      <c r="R26" s="120"/>
      <c r="S26" s="120"/>
      <c r="T26" s="124"/>
      <c r="U26" s="124"/>
      <c r="V26" s="124"/>
      <c r="W26" s="124"/>
      <c r="X26" s="124"/>
      <c r="Y26" s="124"/>
      <c r="Z26" s="124"/>
      <c r="AA26" s="124"/>
      <c r="AB26" s="124"/>
      <c r="AC26" s="124"/>
      <c r="AD26" s="124"/>
      <c r="AE26" s="124"/>
      <c r="AF26" s="124"/>
      <c r="AG26" s="124"/>
      <c r="AH26" s="124"/>
      <c r="AI26" s="124"/>
      <c r="AJ26" s="124"/>
      <c r="AK26" s="124"/>
      <c r="AL26" s="124"/>
      <c r="AM26" s="124"/>
      <c r="AN26" s="124"/>
      <c r="AO26" s="124"/>
      <c r="AP26" s="124"/>
      <c r="AQ26" s="124"/>
      <c r="AR26" s="124"/>
      <c r="AS26" s="124"/>
      <c r="AT26" s="124"/>
      <c r="AU26" s="124"/>
      <c r="AV26" s="124"/>
      <c r="AW26" s="124"/>
      <c r="AX26" s="124"/>
      <c r="AY26" s="125"/>
    </row>
    <row r="27" spans="1:51" ht="15" customHeight="1" x14ac:dyDescent="0.25">
      <c r="A27" s="117">
        <v>21</v>
      </c>
      <c r="B27" s="29" t="s">
        <v>24</v>
      </c>
      <c r="C27" s="30">
        <v>1</v>
      </c>
      <c r="D27" s="14">
        <f>Приход!$D23*2</f>
        <v>7000</v>
      </c>
      <c r="E27" s="14">
        <f>Приход!D23*$T$16</f>
        <v>4059.9999999999995</v>
      </c>
      <c r="F27" s="13">
        <f t="shared" si="0"/>
        <v>4059.9999999999995</v>
      </c>
      <c r="G27" s="14">
        <f t="shared" si="1"/>
        <v>4550</v>
      </c>
      <c r="H27" s="13">
        <f t="shared" si="4"/>
        <v>4550</v>
      </c>
      <c r="I27" s="13">
        <f>D27*0.6*Приход!C23</f>
        <v>4200</v>
      </c>
      <c r="J27" s="31">
        <f t="shared" si="5"/>
        <v>7000</v>
      </c>
      <c r="K27" s="122"/>
      <c r="L27" s="123"/>
      <c r="M27" s="120"/>
      <c r="N27" s="120"/>
      <c r="O27" s="120"/>
      <c r="P27" s="120"/>
      <c r="Q27" s="120"/>
      <c r="R27" s="120"/>
      <c r="S27" s="120"/>
      <c r="T27" s="124"/>
      <c r="U27" s="124"/>
      <c r="V27" s="124"/>
      <c r="W27" s="124"/>
      <c r="X27" s="124"/>
      <c r="Y27" s="124"/>
      <c r="Z27" s="124"/>
      <c r="AA27" s="124"/>
      <c r="AB27" s="124"/>
      <c r="AC27" s="124"/>
      <c r="AD27" s="124"/>
      <c r="AE27" s="124"/>
      <c r="AF27" s="124"/>
      <c r="AG27" s="124"/>
      <c r="AH27" s="124"/>
      <c r="AI27" s="124"/>
      <c r="AJ27" s="124"/>
      <c r="AK27" s="124"/>
      <c r="AL27" s="124"/>
      <c r="AM27" s="124"/>
      <c r="AN27" s="124"/>
      <c r="AO27" s="124"/>
      <c r="AP27" s="124"/>
      <c r="AQ27" s="124"/>
      <c r="AR27" s="124"/>
      <c r="AS27" s="124"/>
      <c r="AT27" s="124"/>
      <c r="AU27" s="124"/>
      <c r="AV27" s="124"/>
      <c r="AW27" s="124"/>
      <c r="AX27" s="124"/>
      <c r="AY27" s="125"/>
    </row>
    <row r="28" spans="1:51" ht="26.65" customHeight="1" x14ac:dyDescent="0.25">
      <c r="A28" s="117">
        <v>22</v>
      </c>
      <c r="B28" s="29" t="s">
        <v>25</v>
      </c>
      <c r="C28" s="30">
        <v>1</v>
      </c>
      <c r="D28" s="14">
        <f>Приход!$D24*2</f>
        <v>10600</v>
      </c>
      <c r="E28" s="14">
        <f>Приход!D24*$T$16</f>
        <v>6148</v>
      </c>
      <c r="F28" s="13">
        <f t="shared" si="0"/>
        <v>6148</v>
      </c>
      <c r="G28" s="14">
        <f t="shared" si="1"/>
        <v>6890</v>
      </c>
      <c r="H28" s="13">
        <f t="shared" si="4"/>
        <v>6890</v>
      </c>
      <c r="I28" s="13">
        <f>D28*0.6*Приход!C24</f>
        <v>6360</v>
      </c>
      <c r="J28" s="31">
        <f t="shared" si="5"/>
        <v>10600</v>
      </c>
      <c r="K28" s="122"/>
      <c r="L28" s="123"/>
      <c r="M28" s="120"/>
      <c r="N28" s="120"/>
      <c r="O28" s="120"/>
      <c r="P28" s="120"/>
      <c r="Q28" s="120"/>
      <c r="R28" s="120"/>
      <c r="S28" s="120"/>
      <c r="T28" s="124"/>
      <c r="U28" s="124"/>
      <c r="V28" s="124"/>
      <c r="W28" s="124"/>
      <c r="X28" s="124"/>
      <c r="Y28" s="124"/>
      <c r="Z28" s="124"/>
      <c r="AA28" s="124"/>
      <c r="AB28" s="124"/>
      <c r="AC28" s="124"/>
      <c r="AD28" s="124"/>
      <c r="AE28" s="124"/>
      <c r="AF28" s="124"/>
      <c r="AG28" s="124"/>
      <c r="AH28" s="124"/>
      <c r="AI28" s="124"/>
      <c r="AJ28" s="124"/>
      <c r="AK28" s="124"/>
      <c r="AL28" s="124"/>
      <c r="AM28" s="124"/>
      <c r="AN28" s="124"/>
      <c r="AO28" s="124"/>
      <c r="AP28" s="124"/>
      <c r="AQ28" s="124"/>
      <c r="AR28" s="124"/>
      <c r="AS28" s="124"/>
      <c r="AT28" s="124"/>
      <c r="AU28" s="124"/>
      <c r="AV28" s="124"/>
      <c r="AW28" s="124"/>
      <c r="AX28" s="124"/>
      <c r="AY28" s="125"/>
    </row>
    <row r="29" spans="1:51" ht="15" customHeight="1" x14ac:dyDescent="0.25">
      <c r="A29" s="117">
        <v>23</v>
      </c>
      <c r="B29" s="29" t="s">
        <v>26</v>
      </c>
      <c r="C29" s="30">
        <v>1</v>
      </c>
      <c r="D29" s="14">
        <f>Приход!$D25*2</f>
        <v>14290</v>
      </c>
      <c r="E29" s="14">
        <f>Приход!D25*$T$16</f>
        <v>8288.1999999999989</v>
      </c>
      <c r="F29" s="13">
        <f t="shared" si="0"/>
        <v>8288.1999999999989</v>
      </c>
      <c r="G29" s="14">
        <f t="shared" si="1"/>
        <v>9288.5</v>
      </c>
      <c r="H29" s="13">
        <f t="shared" si="4"/>
        <v>9288.5</v>
      </c>
      <c r="I29" s="13">
        <f>D29*0.6*Приход!C25</f>
        <v>8574</v>
      </c>
      <c r="J29" s="31">
        <f t="shared" si="5"/>
        <v>14290</v>
      </c>
      <c r="K29" s="122"/>
      <c r="L29" s="123"/>
      <c r="M29" s="120"/>
      <c r="N29" s="120"/>
      <c r="O29" s="120"/>
      <c r="P29" s="120"/>
      <c r="Q29" s="120"/>
      <c r="R29" s="120"/>
      <c r="S29" s="120"/>
      <c r="T29" s="124"/>
      <c r="U29" s="124"/>
      <c r="V29" s="124"/>
      <c r="W29" s="124"/>
      <c r="X29" s="124"/>
      <c r="Y29" s="124"/>
      <c r="Z29" s="124"/>
      <c r="AA29" s="124"/>
      <c r="AB29" s="124"/>
      <c r="AC29" s="124"/>
      <c r="AD29" s="124"/>
      <c r="AE29" s="124"/>
      <c r="AF29" s="124"/>
      <c r="AG29" s="124"/>
      <c r="AH29" s="124"/>
      <c r="AI29" s="124"/>
      <c r="AJ29" s="124"/>
      <c r="AK29" s="124"/>
      <c r="AL29" s="124"/>
      <c r="AM29" s="124"/>
      <c r="AN29" s="124"/>
      <c r="AO29" s="124"/>
      <c r="AP29" s="124"/>
      <c r="AQ29" s="124"/>
      <c r="AR29" s="124"/>
      <c r="AS29" s="124"/>
      <c r="AT29" s="124"/>
      <c r="AU29" s="124"/>
      <c r="AV29" s="124"/>
      <c r="AW29" s="124"/>
      <c r="AX29" s="124"/>
      <c r="AY29" s="125"/>
    </row>
    <row r="30" spans="1:51" ht="15" customHeight="1" x14ac:dyDescent="0.25">
      <c r="A30" s="117">
        <v>24</v>
      </c>
      <c r="B30" s="29" t="s">
        <v>27</v>
      </c>
      <c r="C30" s="30">
        <v>1</v>
      </c>
      <c r="D30" s="14">
        <f>Приход!$D26*2</f>
        <v>6990</v>
      </c>
      <c r="E30" s="14">
        <f>Приход!D26*$T$16</f>
        <v>4054.2</v>
      </c>
      <c r="F30" s="13">
        <f t="shared" si="0"/>
        <v>4054.2</v>
      </c>
      <c r="G30" s="14">
        <f t="shared" si="1"/>
        <v>4543.5</v>
      </c>
      <c r="H30" s="13">
        <f t="shared" si="4"/>
        <v>4543.5</v>
      </c>
      <c r="I30" s="13">
        <f>D30*0.6*Приход!C26</f>
        <v>4194</v>
      </c>
      <c r="J30" s="31">
        <f t="shared" si="5"/>
        <v>6990</v>
      </c>
      <c r="K30" s="122"/>
      <c r="L30" s="123"/>
      <c r="M30" s="120"/>
      <c r="N30" s="120"/>
      <c r="O30" s="120"/>
      <c r="P30" s="120"/>
      <c r="Q30" s="120"/>
      <c r="R30" s="120"/>
      <c r="S30" s="120"/>
      <c r="T30" s="124"/>
      <c r="U30" s="124"/>
      <c r="V30" s="124"/>
      <c r="W30" s="124"/>
      <c r="X30" s="124"/>
      <c r="Y30" s="124"/>
      <c r="Z30" s="124"/>
      <c r="AA30" s="124"/>
      <c r="AB30" s="124"/>
      <c r="AC30" s="124"/>
      <c r="AD30" s="124"/>
      <c r="AE30" s="124"/>
      <c r="AF30" s="124"/>
      <c r="AG30" s="124"/>
      <c r="AH30" s="124"/>
      <c r="AI30" s="124"/>
      <c r="AJ30" s="124"/>
      <c r="AK30" s="124"/>
      <c r="AL30" s="124"/>
      <c r="AM30" s="124"/>
      <c r="AN30" s="124"/>
      <c r="AO30" s="124"/>
      <c r="AP30" s="124"/>
      <c r="AQ30" s="124"/>
      <c r="AR30" s="124"/>
      <c r="AS30" s="124"/>
      <c r="AT30" s="124"/>
      <c r="AU30" s="124"/>
      <c r="AV30" s="124"/>
      <c r="AW30" s="124"/>
      <c r="AX30" s="124"/>
      <c r="AY30" s="125"/>
    </row>
    <row r="31" spans="1:51" ht="15" customHeight="1" x14ac:dyDescent="0.25">
      <c r="A31" s="117">
        <v>25</v>
      </c>
      <c r="B31" s="29" t="s">
        <v>28</v>
      </c>
      <c r="C31" s="30">
        <v>1</v>
      </c>
      <c r="D31" s="14">
        <f>Приход!$D27*2</f>
        <v>3290</v>
      </c>
      <c r="E31" s="14">
        <f>Приход!D27*$T$16</f>
        <v>1908.1999999999998</v>
      </c>
      <c r="F31" s="13">
        <f t="shared" si="0"/>
        <v>1908.1999999999998</v>
      </c>
      <c r="G31" s="14">
        <f t="shared" si="1"/>
        <v>2138.5</v>
      </c>
      <c r="H31" s="13">
        <f t="shared" si="4"/>
        <v>2138.5</v>
      </c>
      <c r="I31" s="13">
        <f>D31*0.6*Приход!C27</f>
        <v>1974</v>
      </c>
      <c r="J31" s="31">
        <f t="shared" si="5"/>
        <v>3290</v>
      </c>
      <c r="K31" s="122"/>
      <c r="L31" s="123"/>
      <c r="M31" s="120"/>
      <c r="N31" s="120"/>
      <c r="O31" s="120"/>
      <c r="P31" s="120"/>
      <c r="Q31" s="120"/>
      <c r="R31" s="120"/>
      <c r="S31" s="120"/>
      <c r="T31" s="124"/>
      <c r="U31" s="124"/>
      <c r="V31" s="124"/>
      <c r="W31" s="124"/>
      <c r="X31" s="124"/>
      <c r="Y31" s="124"/>
      <c r="Z31" s="124"/>
      <c r="AA31" s="124"/>
      <c r="AB31" s="124"/>
      <c r="AC31" s="124"/>
      <c r="AD31" s="124"/>
      <c r="AE31" s="124"/>
      <c r="AF31" s="124"/>
      <c r="AG31" s="124"/>
      <c r="AH31" s="124"/>
      <c r="AI31" s="124"/>
      <c r="AJ31" s="124"/>
      <c r="AK31" s="124"/>
      <c r="AL31" s="124"/>
      <c r="AM31" s="124"/>
      <c r="AN31" s="124"/>
      <c r="AO31" s="124"/>
      <c r="AP31" s="124"/>
      <c r="AQ31" s="124"/>
      <c r="AR31" s="124"/>
      <c r="AS31" s="124"/>
      <c r="AT31" s="124"/>
      <c r="AU31" s="124"/>
      <c r="AV31" s="124"/>
      <c r="AW31" s="124"/>
      <c r="AX31" s="124"/>
      <c r="AY31" s="125"/>
    </row>
    <row r="32" spans="1:51" ht="15" customHeight="1" x14ac:dyDescent="0.25">
      <c r="A32" s="117">
        <v>26</v>
      </c>
      <c r="B32" s="29" t="s">
        <v>29</v>
      </c>
      <c r="C32" s="30">
        <v>1</v>
      </c>
      <c r="D32" s="14">
        <f>Приход!$D28*2</f>
        <v>5990</v>
      </c>
      <c r="E32" s="14">
        <f>Приход!D28*$T$16</f>
        <v>3474.2</v>
      </c>
      <c r="F32" s="13">
        <f t="shared" si="0"/>
        <v>3474.2</v>
      </c>
      <c r="G32" s="14">
        <f t="shared" si="1"/>
        <v>3893.5</v>
      </c>
      <c r="H32" s="13">
        <f t="shared" si="4"/>
        <v>3893.5</v>
      </c>
      <c r="I32" s="13">
        <f>D32*0.6*Приход!C28</f>
        <v>3594</v>
      </c>
      <c r="J32" s="31">
        <f t="shared" si="5"/>
        <v>5990</v>
      </c>
      <c r="K32" s="122"/>
      <c r="L32" s="123"/>
      <c r="M32" s="120"/>
      <c r="N32" s="120"/>
      <c r="O32" s="120"/>
      <c r="P32" s="120"/>
      <c r="Q32" s="120"/>
      <c r="R32" s="120"/>
      <c r="S32" s="120"/>
      <c r="T32" s="124"/>
      <c r="U32" s="124"/>
      <c r="V32" s="124"/>
      <c r="W32" s="124"/>
      <c r="X32" s="124"/>
      <c r="Y32" s="124"/>
      <c r="Z32" s="124"/>
      <c r="AA32" s="124"/>
      <c r="AB32" s="124"/>
      <c r="AC32" s="124"/>
      <c r="AD32" s="124"/>
      <c r="AE32" s="124"/>
      <c r="AF32" s="124"/>
      <c r="AG32" s="124"/>
      <c r="AH32" s="124"/>
      <c r="AI32" s="124"/>
      <c r="AJ32" s="124"/>
      <c r="AK32" s="124"/>
      <c r="AL32" s="124"/>
      <c r="AM32" s="124"/>
      <c r="AN32" s="124"/>
      <c r="AO32" s="124"/>
      <c r="AP32" s="124"/>
      <c r="AQ32" s="124"/>
      <c r="AR32" s="124"/>
      <c r="AS32" s="124"/>
      <c r="AT32" s="124"/>
      <c r="AU32" s="124"/>
      <c r="AV32" s="124"/>
      <c r="AW32" s="124"/>
      <c r="AX32" s="124"/>
      <c r="AY32" s="125"/>
    </row>
    <row r="33" spans="1:51" ht="15" customHeight="1" x14ac:dyDescent="0.25">
      <c r="A33" s="117">
        <v>27</v>
      </c>
      <c r="B33" s="29" t="s">
        <v>30</v>
      </c>
      <c r="C33" s="30">
        <v>1</v>
      </c>
      <c r="D33" s="14">
        <f>Приход!$D29*2</f>
        <v>9600</v>
      </c>
      <c r="E33" s="14">
        <f>Приход!D29*$T$16</f>
        <v>5568</v>
      </c>
      <c r="F33" s="13">
        <f t="shared" si="0"/>
        <v>5568</v>
      </c>
      <c r="G33" s="14">
        <f t="shared" si="1"/>
        <v>6240</v>
      </c>
      <c r="H33" s="13">
        <f t="shared" si="4"/>
        <v>6240</v>
      </c>
      <c r="I33" s="13">
        <f>D33*0.6*Приход!C29</f>
        <v>5760</v>
      </c>
      <c r="J33" s="31">
        <f t="shared" si="5"/>
        <v>9600</v>
      </c>
      <c r="K33" s="122"/>
      <c r="L33" s="123"/>
      <c r="M33" s="120"/>
      <c r="N33" s="120"/>
      <c r="O33" s="120"/>
      <c r="P33" s="120"/>
      <c r="Q33" s="120"/>
      <c r="R33" s="120"/>
      <c r="S33" s="120"/>
      <c r="T33" s="124"/>
      <c r="U33" s="124"/>
      <c r="V33" s="124"/>
      <c r="W33" s="124"/>
      <c r="X33" s="124"/>
      <c r="Y33" s="124"/>
      <c r="Z33" s="124"/>
      <c r="AA33" s="124"/>
      <c r="AB33" s="124"/>
      <c r="AC33" s="124"/>
      <c r="AD33" s="124"/>
      <c r="AE33" s="124"/>
      <c r="AF33" s="124"/>
      <c r="AG33" s="124"/>
      <c r="AH33" s="124"/>
      <c r="AI33" s="124"/>
      <c r="AJ33" s="124"/>
      <c r="AK33" s="124"/>
      <c r="AL33" s="124"/>
      <c r="AM33" s="124"/>
      <c r="AN33" s="124"/>
      <c r="AO33" s="124"/>
      <c r="AP33" s="124"/>
      <c r="AQ33" s="124"/>
      <c r="AR33" s="124"/>
      <c r="AS33" s="124"/>
      <c r="AT33" s="124"/>
      <c r="AU33" s="124"/>
      <c r="AV33" s="124"/>
      <c r="AW33" s="124"/>
      <c r="AX33" s="124"/>
      <c r="AY33" s="125"/>
    </row>
    <row r="34" spans="1:51" ht="15" customHeight="1" x14ac:dyDescent="0.25">
      <c r="A34" s="117">
        <v>28</v>
      </c>
      <c r="B34" s="29" t="s">
        <v>31</v>
      </c>
      <c r="C34" s="30">
        <v>1</v>
      </c>
      <c r="D34" s="14">
        <f>Приход!$D30*2</f>
        <v>7990</v>
      </c>
      <c r="E34" s="14">
        <f>Приход!D30*$T$16</f>
        <v>4634.2</v>
      </c>
      <c r="F34" s="13">
        <f t="shared" si="0"/>
        <v>4634.2</v>
      </c>
      <c r="G34" s="14">
        <f t="shared" si="1"/>
        <v>5193.5</v>
      </c>
      <c r="H34" s="13">
        <f t="shared" si="4"/>
        <v>5193.5</v>
      </c>
      <c r="I34" s="13">
        <f>D34*0.6*Приход!C30</f>
        <v>4794</v>
      </c>
      <c r="J34" s="31">
        <f t="shared" si="5"/>
        <v>7990</v>
      </c>
      <c r="K34" s="122"/>
      <c r="L34" s="123"/>
      <c r="M34" s="120"/>
      <c r="N34" s="120"/>
      <c r="O34" s="120"/>
      <c r="P34" s="120"/>
      <c r="Q34" s="120"/>
      <c r="R34" s="120"/>
      <c r="S34" s="120"/>
      <c r="T34" s="124"/>
      <c r="U34" s="124"/>
      <c r="V34" s="124"/>
      <c r="W34" s="124"/>
      <c r="X34" s="124"/>
      <c r="Y34" s="124"/>
      <c r="Z34" s="124"/>
      <c r="AA34" s="124"/>
      <c r="AB34" s="124"/>
      <c r="AC34" s="124"/>
      <c r="AD34" s="124"/>
      <c r="AE34" s="124"/>
      <c r="AF34" s="124"/>
      <c r="AG34" s="124"/>
      <c r="AH34" s="124"/>
      <c r="AI34" s="124"/>
      <c r="AJ34" s="124"/>
      <c r="AK34" s="124"/>
      <c r="AL34" s="124"/>
      <c r="AM34" s="124"/>
      <c r="AN34" s="124"/>
      <c r="AO34" s="124"/>
      <c r="AP34" s="124"/>
      <c r="AQ34" s="124"/>
      <c r="AR34" s="124"/>
      <c r="AS34" s="124"/>
      <c r="AT34" s="124"/>
      <c r="AU34" s="124"/>
      <c r="AV34" s="124"/>
      <c r="AW34" s="124"/>
      <c r="AX34" s="124"/>
      <c r="AY34" s="125"/>
    </row>
    <row r="35" spans="1:51" ht="15" customHeight="1" x14ac:dyDescent="0.25">
      <c r="A35" s="117">
        <v>29</v>
      </c>
      <c r="B35" s="29" t="s">
        <v>32</v>
      </c>
      <c r="C35" s="30">
        <v>1</v>
      </c>
      <c r="D35" s="14">
        <f>Приход!$D31*2</f>
        <v>16190</v>
      </c>
      <c r="E35" s="14">
        <f>Приход!D31*$T$16</f>
        <v>9390.1999999999989</v>
      </c>
      <c r="F35" s="13">
        <f t="shared" si="0"/>
        <v>9390.1999999999989</v>
      </c>
      <c r="G35" s="14">
        <f t="shared" si="1"/>
        <v>10523.5</v>
      </c>
      <c r="H35" s="13">
        <f t="shared" si="4"/>
        <v>10523.5</v>
      </c>
      <c r="I35" s="13">
        <f>D35*0.6*Приход!C31</f>
        <v>9714</v>
      </c>
      <c r="J35" s="31">
        <f t="shared" si="5"/>
        <v>16190</v>
      </c>
      <c r="K35" s="122"/>
      <c r="L35" s="123"/>
      <c r="M35" s="120"/>
      <c r="N35" s="120"/>
      <c r="O35" s="120"/>
      <c r="P35" s="120"/>
      <c r="Q35" s="120"/>
      <c r="R35" s="120"/>
      <c r="S35" s="120"/>
      <c r="T35" s="124"/>
      <c r="U35" s="124"/>
      <c r="V35" s="124"/>
      <c r="W35" s="124"/>
      <c r="X35" s="124"/>
      <c r="Y35" s="124"/>
      <c r="Z35" s="124"/>
      <c r="AA35" s="124"/>
      <c r="AB35" s="124"/>
      <c r="AC35" s="124"/>
      <c r="AD35" s="124"/>
      <c r="AE35" s="124"/>
      <c r="AF35" s="124"/>
      <c r="AG35" s="124"/>
      <c r="AH35" s="124"/>
      <c r="AI35" s="124"/>
      <c r="AJ35" s="124"/>
      <c r="AK35" s="124"/>
      <c r="AL35" s="124"/>
      <c r="AM35" s="124"/>
      <c r="AN35" s="124"/>
      <c r="AO35" s="124"/>
      <c r="AP35" s="124"/>
      <c r="AQ35" s="124"/>
      <c r="AR35" s="124"/>
      <c r="AS35" s="124"/>
      <c r="AT35" s="124"/>
      <c r="AU35" s="124"/>
      <c r="AV35" s="124"/>
      <c r="AW35" s="124"/>
      <c r="AX35" s="124"/>
      <c r="AY35" s="125"/>
    </row>
    <row r="36" spans="1:51" ht="15" customHeight="1" x14ac:dyDescent="0.25">
      <c r="A36" s="117">
        <v>30</v>
      </c>
      <c r="B36" s="29" t="s">
        <v>33</v>
      </c>
      <c r="C36" s="30">
        <v>1</v>
      </c>
      <c r="D36" s="14">
        <f>Приход!$D32*2</f>
        <v>4600</v>
      </c>
      <c r="E36" s="14">
        <f>Приход!D32*$T$16</f>
        <v>2668</v>
      </c>
      <c r="F36" s="13">
        <f t="shared" si="0"/>
        <v>2668</v>
      </c>
      <c r="G36" s="14">
        <f t="shared" si="1"/>
        <v>2990</v>
      </c>
      <c r="H36" s="13">
        <f t="shared" si="4"/>
        <v>2990</v>
      </c>
      <c r="I36" s="13">
        <f>D36*0.6*Приход!C32</f>
        <v>2760</v>
      </c>
      <c r="J36" s="31">
        <f t="shared" si="5"/>
        <v>4600</v>
      </c>
      <c r="K36" s="122"/>
      <c r="L36" s="123"/>
      <c r="M36" s="120"/>
      <c r="N36" s="120"/>
      <c r="O36" s="120"/>
      <c r="P36" s="120"/>
      <c r="Q36" s="120"/>
      <c r="R36" s="120"/>
      <c r="S36" s="120"/>
      <c r="T36" s="124"/>
      <c r="U36" s="124"/>
      <c r="V36" s="124"/>
      <c r="W36" s="124"/>
      <c r="X36" s="124"/>
      <c r="Y36" s="124"/>
      <c r="Z36" s="124"/>
      <c r="AA36" s="124"/>
      <c r="AB36" s="124"/>
      <c r="AC36" s="124"/>
      <c r="AD36" s="124"/>
      <c r="AE36" s="124"/>
      <c r="AF36" s="124"/>
      <c r="AG36" s="124"/>
      <c r="AH36" s="124"/>
      <c r="AI36" s="124"/>
      <c r="AJ36" s="124"/>
      <c r="AK36" s="124"/>
      <c r="AL36" s="124"/>
      <c r="AM36" s="124"/>
      <c r="AN36" s="124"/>
      <c r="AO36" s="124"/>
      <c r="AP36" s="124"/>
      <c r="AQ36" s="124"/>
      <c r="AR36" s="124"/>
      <c r="AS36" s="124"/>
      <c r="AT36" s="124"/>
      <c r="AU36" s="124"/>
      <c r="AV36" s="124"/>
      <c r="AW36" s="124"/>
      <c r="AX36" s="124"/>
      <c r="AY36" s="125"/>
    </row>
    <row r="37" spans="1:51" ht="15" customHeight="1" x14ac:dyDescent="0.25">
      <c r="A37" s="117">
        <v>31</v>
      </c>
      <c r="B37" s="29" t="s">
        <v>34</v>
      </c>
      <c r="C37" s="30">
        <v>1</v>
      </c>
      <c r="D37" s="14">
        <f>Приход!$D33*2</f>
        <v>10788</v>
      </c>
      <c r="E37" s="14">
        <f>Приход!D33*$T$16</f>
        <v>6257.04</v>
      </c>
      <c r="F37" s="13">
        <f t="shared" si="0"/>
        <v>6257.04</v>
      </c>
      <c r="G37" s="14">
        <f t="shared" si="1"/>
        <v>7012.2</v>
      </c>
      <c r="H37" s="13">
        <f t="shared" si="4"/>
        <v>7012.2</v>
      </c>
      <c r="I37" s="13">
        <f>D37*0.6*Приход!C33</f>
        <v>6472.8</v>
      </c>
      <c r="J37" s="31">
        <f t="shared" si="5"/>
        <v>10788</v>
      </c>
      <c r="K37" s="122"/>
      <c r="L37" s="123"/>
      <c r="M37" s="120"/>
      <c r="N37" s="120"/>
      <c r="O37" s="120"/>
      <c r="P37" s="120"/>
      <c r="Q37" s="120"/>
      <c r="R37" s="120"/>
      <c r="S37" s="120"/>
      <c r="T37" s="124"/>
      <c r="U37" s="124"/>
      <c r="V37" s="124"/>
      <c r="W37" s="124"/>
      <c r="X37" s="124"/>
      <c r="Y37" s="124"/>
      <c r="Z37" s="124"/>
      <c r="AA37" s="124"/>
      <c r="AB37" s="124"/>
      <c r="AC37" s="124"/>
      <c r="AD37" s="124"/>
      <c r="AE37" s="124"/>
      <c r="AF37" s="124"/>
      <c r="AG37" s="124"/>
      <c r="AH37" s="124"/>
      <c r="AI37" s="124"/>
      <c r="AJ37" s="124"/>
      <c r="AK37" s="124"/>
      <c r="AL37" s="124"/>
      <c r="AM37" s="124"/>
      <c r="AN37" s="124"/>
      <c r="AO37" s="124"/>
      <c r="AP37" s="124"/>
      <c r="AQ37" s="124"/>
      <c r="AR37" s="124"/>
      <c r="AS37" s="124"/>
      <c r="AT37" s="124"/>
      <c r="AU37" s="124"/>
      <c r="AV37" s="124"/>
      <c r="AW37" s="124"/>
      <c r="AX37" s="124"/>
      <c r="AY37" s="125"/>
    </row>
    <row r="38" spans="1:51" ht="15" customHeight="1" x14ac:dyDescent="0.25">
      <c r="A38" s="117">
        <v>32</v>
      </c>
      <c r="B38" s="29" t="s">
        <v>35</v>
      </c>
      <c r="C38" s="30">
        <v>1</v>
      </c>
      <c r="D38" s="14">
        <f>Приход!$D34*2</f>
        <v>10428</v>
      </c>
      <c r="E38" s="14">
        <f>Приход!D34*$T$16</f>
        <v>6048.24</v>
      </c>
      <c r="F38" s="13">
        <f t="shared" ref="F38:F66" si="6">E38*C38</f>
        <v>6048.24</v>
      </c>
      <c r="G38" s="14">
        <f t="shared" ref="G38:G66" si="7">D38*$T$15</f>
        <v>6778.2</v>
      </c>
      <c r="H38" s="13">
        <f t="shared" si="4"/>
        <v>6778.2</v>
      </c>
      <c r="I38" s="13">
        <f>D38*0.6*Приход!C34</f>
        <v>6256.8</v>
      </c>
      <c r="J38" s="31">
        <f t="shared" si="5"/>
        <v>10428</v>
      </c>
      <c r="K38" s="122"/>
      <c r="L38" s="123"/>
      <c r="M38" s="120"/>
      <c r="N38" s="120"/>
      <c r="O38" s="120"/>
      <c r="P38" s="120"/>
      <c r="Q38" s="120"/>
      <c r="R38" s="120"/>
      <c r="S38" s="120"/>
      <c r="T38" s="124"/>
      <c r="U38" s="124"/>
      <c r="V38" s="124"/>
      <c r="W38" s="124"/>
      <c r="X38" s="124"/>
      <c r="Y38" s="124"/>
      <c r="Z38" s="124"/>
      <c r="AA38" s="124"/>
      <c r="AB38" s="124"/>
      <c r="AC38" s="124"/>
      <c r="AD38" s="124"/>
      <c r="AE38" s="124"/>
      <c r="AF38" s="124"/>
      <c r="AG38" s="124"/>
      <c r="AH38" s="124"/>
      <c r="AI38" s="124"/>
      <c r="AJ38" s="124"/>
      <c r="AK38" s="124"/>
      <c r="AL38" s="124"/>
      <c r="AM38" s="124"/>
      <c r="AN38" s="124"/>
      <c r="AO38" s="124"/>
      <c r="AP38" s="124"/>
      <c r="AQ38" s="124"/>
      <c r="AR38" s="124"/>
      <c r="AS38" s="124"/>
      <c r="AT38" s="124"/>
      <c r="AU38" s="124"/>
      <c r="AV38" s="124"/>
      <c r="AW38" s="124"/>
      <c r="AX38" s="124"/>
      <c r="AY38" s="125"/>
    </row>
    <row r="39" spans="1:51" ht="15" customHeight="1" x14ac:dyDescent="0.25">
      <c r="A39" s="117">
        <v>33</v>
      </c>
      <c r="B39" s="29" t="s">
        <v>36</v>
      </c>
      <c r="C39" s="30">
        <v>5</v>
      </c>
      <c r="D39" s="14">
        <f>Приход!$D35*2</f>
        <v>7690</v>
      </c>
      <c r="E39" s="14">
        <f>Приход!D35*$T$16</f>
        <v>4460.2</v>
      </c>
      <c r="F39" s="13">
        <f t="shared" si="6"/>
        <v>22301</v>
      </c>
      <c r="G39" s="14">
        <f t="shared" si="7"/>
        <v>4998.5</v>
      </c>
      <c r="H39" s="13">
        <f t="shared" si="4"/>
        <v>24992.5</v>
      </c>
      <c r="I39" s="13">
        <f>D39*0.6*Приход!C35</f>
        <v>23070</v>
      </c>
      <c r="J39" s="31">
        <f t="shared" si="5"/>
        <v>38450</v>
      </c>
      <c r="K39" s="122"/>
      <c r="L39" s="123"/>
      <c r="M39" s="120"/>
      <c r="N39" s="120"/>
      <c r="O39" s="120"/>
      <c r="P39" s="120"/>
      <c r="Q39" s="120"/>
      <c r="R39" s="120"/>
      <c r="S39" s="120"/>
      <c r="T39" s="124"/>
      <c r="U39" s="124"/>
      <c r="V39" s="124"/>
      <c r="W39" s="124"/>
      <c r="X39" s="124"/>
      <c r="Y39" s="124"/>
      <c r="Z39" s="124"/>
      <c r="AA39" s="124"/>
      <c r="AB39" s="124"/>
      <c r="AC39" s="124"/>
      <c r="AD39" s="124"/>
      <c r="AE39" s="124"/>
      <c r="AF39" s="124"/>
      <c r="AG39" s="124"/>
      <c r="AH39" s="124"/>
      <c r="AI39" s="124"/>
      <c r="AJ39" s="124"/>
      <c r="AK39" s="124"/>
      <c r="AL39" s="124"/>
      <c r="AM39" s="124"/>
      <c r="AN39" s="124"/>
      <c r="AO39" s="124"/>
      <c r="AP39" s="124"/>
      <c r="AQ39" s="124"/>
      <c r="AR39" s="124"/>
      <c r="AS39" s="124"/>
      <c r="AT39" s="124"/>
      <c r="AU39" s="124"/>
      <c r="AV39" s="124"/>
      <c r="AW39" s="124"/>
      <c r="AX39" s="124"/>
      <c r="AY39" s="125"/>
    </row>
    <row r="40" spans="1:51" ht="15" customHeight="1" x14ac:dyDescent="0.25">
      <c r="A40" s="117">
        <v>34</v>
      </c>
      <c r="B40" s="29" t="s">
        <v>37</v>
      </c>
      <c r="C40" s="30">
        <v>5</v>
      </c>
      <c r="D40" s="14">
        <f>Приход!$D36*2</f>
        <v>7690</v>
      </c>
      <c r="E40" s="14">
        <f>Приход!D36*$T$16</f>
        <v>4460.2</v>
      </c>
      <c r="F40" s="13">
        <f t="shared" si="6"/>
        <v>22301</v>
      </c>
      <c r="G40" s="14">
        <f t="shared" si="7"/>
        <v>4998.5</v>
      </c>
      <c r="H40" s="13">
        <f t="shared" si="4"/>
        <v>24992.5</v>
      </c>
      <c r="I40" s="13">
        <f>D40*0.6*Приход!C36</f>
        <v>23070</v>
      </c>
      <c r="J40" s="31">
        <f t="shared" si="5"/>
        <v>38450</v>
      </c>
      <c r="K40" s="122"/>
      <c r="L40" s="123"/>
      <c r="M40" s="120"/>
      <c r="N40" s="120"/>
      <c r="O40" s="120"/>
      <c r="P40" s="120"/>
      <c r="Q40" s="120"/>
      <c r="R40" s="120"/>
      <c r="S40" s="120"/>
      <c r="T40" s="124"/>
      <c r="U40" s="124"/>
      <c r="V40" s="124"/>
      <c r="W40" s="124"/>
      <c r="X40" s="124"/>
      <c r="Y40" s="124"/>
      <c r="Z40" s="124"/>
      <c r="AA40" s="124"/>
      <c r="AB40" s="124"/>
      <c r="AC40" s="124"/>
      <c r="AD40" s="124"/>
      <c r="AE40" s="124"/>
      <c r="AF40" s="124"/>
      <c r="AG40" s="124"/>
      <c r="AH40" s="124"/>
      <c r="AI40" s="124"/>
      <c r="AJ40" s="124"/>
      <c r="AK40" s="124"/>
      <c r="AL40" s="124"/>
      <c r="AM40" s="124"/>
      <c r="AN40" s="124"/>
      <c r="AO40" s="124"/>
      <c r="AP40" s="124"/>
      <c r="AQ40" s="124"/>
      <c r="AR40" s="124"/>
      <c r="AS40" s="124"/>
      <c r="AT40" s="124"/>
      <c r="AU40" s="124"/>
      <c r="AV40" s="124"/>
      <c r="AW40" s="124"/>
      <c r="AX40" s="124"/>
      <c r="AY40" s="125"/>
    </row>
    <row r="41" spans="1:51" ht="15" customHeight="1" x14ac:dyDescent="0.25">
      <c r="A41" s="117">
        <v>35</v>
      </c>
      <c r="B41" s="29" t="s">
        <v>38</v>
      </c>
      <c r="C41" s="30">
        <v>3</v>
      </c>
      <c r="D41" s="14">
        <f>Приход!$D37*2</f>
        <v>7690</v>
      </c>
      <c r="E41" s="14">
        <f>Приход!D37*$T$16</f>
        <v>4460.2</v>
      </c>
      <c r="F41" s="13">
        <f t="shared" si="6"/>
        <v>13380.599999999999</v>
      </c>
      <c r="G41" s="14">
        <f t="shared" si="7"/>
        <v>4998.5</v>
      </c>
      <c r="H41" s="13">
        <f t="shared" si="4"/>
        <v>14995.5</v>
      </c>
      <c r="I41" s="13">
        <f>D41*0.6*Приход!C37</f>
        <v>13842</v>
      </c>
      <c r="J41" s="31">
        <f t="shared" si="5"/>
        <v>23070</v>
      </c>
      <c r="K41" s="126"/>
      <c r="L41" s="127"/>
      <c r="M41" s="120"/>
      <c r="N41" s="120"/>
      <c r="O41" s="120"/>
      <c r="P41" s="120"/>
      <c r="Q41" s="120"/>
      <c r="R41" s="120"/>
      <c r="S41" s="120"/>
      <c r="T41" s="124"/>
      <c r="U41" s="124"/>
      <c r="V41" s="124"/>
      <c r="W41" s="124"/>
      <c r="X41" s="124"/>
      <c r="Y41" s="124"/>
      <c r="Z41" s="124"/>
      <c r="AA41" s="124"/>
      <c r="AB41" s="124"/>
      <c r="AC41" s="124"/>
      <c r="AD41" s="124"/>
      <c r="AE41" s="124"/>
      <c r="AF41" s="124"/>
      <c r="AG41" s="124"/>
      <c r="AH41" s="124"/>
      <c r="AI41" s="124"/>
      <c r="AJ41" s="124"/>
      <c r="AK41" s="124"/>
      <c r="AL41" s="124"/>
      <c r="AM41" s="124"/>
      <c r="AN41" s="124"/>
      <c r="AO41" s="124"/>
      <c r="AP41" s="124"/>
      <c r="AQ41" s="124"/>
      <c r="AR41" s="124"/>
      <c r="AS41" s="124"/>
      <c r="AT41" s="124"/>
      <c r="AU41" s="124"/>
      <c r="AV41" s="124"/>
      <c r="AW41" s="124"/>
      <c r="AX41" s="124"/>
      <c r="AY41" s="125"/>
    </row>
    <row r="42" spans="1:51" ht="13.5" customHeight="1" x14ac:dyDescent="0.25">
      <c r="A42" s="108"/>
      <c r="B42" s="109"/>
      <c r="C42" s="128"/>
      <c r="D42" s="128"/>
      <c r="E42" s="111">
        <f>Приход!D38*$T$16</f>
        <v>0</v>
      </c>
      <c r="F42" s="111">
        <f t="shared" si="6"/>
        <v>0</v>
      </c>
      <c r="G42" s="111">
        <f t="shared" si="7"/>
        <v>0</v>
      </c>
      <c r="H42" s="128"/>
      <c r="I42" s="128"/>
      <c r="J42" s="129"/>
      <c r="K42" s="42" t="s">
        <v>0</v>
      </c>
      <c r="L42" s="43">
        <f>SUM(J43)</f>
        <v>50000</v>
      </c>
      <c r="M42" s="130" t="s">
        <v>69</v>
      </c>
      <c r="N42" s="131">
        <f>SUM(I43)</f>
        <v>30000</v>
      </c>
      <c r="O42" s="115" t="s">
        <v>70</v>
      </c>
      <c r="P42" s="116">
        <f>SUM(H43)</f>
        <v>32500</v>
      </c>
      <c r="Q42" s="132"/>
      <c r="R42" s="124"/>
      <c r="S42" s="124"/>
      <c r="T42" s="124"/>
      <c r="U42" s="124"/>
      <c r="V42" s="124"/>
      <c r="W42" s="124"/>
      <c r="X42" s="124"/>
      <c r="Y42" s="124"/>
      <c r="Z42" s="124"/>
      <c r="AA42" s="124"/>
      <c r="AB42" s="124"/>
      <c r="AC42" s="124"/>
      <c r="AD42" s="124"/>
      <c r="AE42" s="124"/>
      <c r="AF42" s="124"/>
      <c r="AG42" s="124"/>
      <c r="AH42" s="124"/>
      <c r="AI42" s="124"/>
      <c r="AJ42" s="124"/>
      <c r="AK42" s="124"/>
      <c r="AL42" s="124"/>
      <c r="AM42" s="124"/>
      <c r="AN42" s="124"/>
      <c r="AO42" s="124"/>
      <c r="AP42" s="124"/>
      <c r="AQ42" s="124"/>
      <c r="AR42" s="124"/>
      <c r="AS42" s="124"/>
      <c r="AT42" s="124"/>
      <c r="AU42" s="124"/>
      <c r="AV42" s="124"/>
      <c r="AW42" s="124"/>
      <c r="AX42" s="124"/>
      <c r="AY42" s="125"/>
    </row>
    <row r="43" spans="1:51" ht="15" customHeight="1" x14ac:dyDescent="0.25">
      <c r="A43" s="133">
        <v>36</v>
      </c>
      <c r="B43" s="46" t="s">
        <v>39</v>
      </c>
      <c r="C43" s="47">
        <v>1</v>
      </c>
      <c r="D43" s="14">
        <f>Приход!$D39*2</f>
        <v>50000</v>
      </c>
      <c r="E43" s="14">
        <f>Приход!D39*$T$16</f>
        <v>28999.999999999996</v>
      </c>
      <c r="F43" s="13">
        <f t="shared" si="6"/>
        <v>28999.999999999996</v>
      </c>
      <c r="G43" s="14">
        <f t="shared" si="7"/>
        <v>32500</v>
      </c>
      <c r="H43" s="13">
        <f>G43*C43</f>
        <v>32500</v>
      </c>
      <c r="I43" s="13">
        <f>D43*0.6*Приход!C39</f>
        <v>30000</v>
      </c>
      <c r="J43" s="48">
        <f>C43*D43</f>
        <v>50000</v>
      </c>
      <c r="K43" s="134"/>
      <c r="L43" s="95"/>
      <c r="M43" s="68"/>
      <c r="N43" s="68"/>
      <c r="O43" s="93"/>
      <c r="P43" s="93"/>
      <c r="Q43" s="68"/>
      <c r="R43" s="68"/>
      <c r="S43" s="68"/>
      <c r="T43" s="68"/>
      <c r="U43" s="68"/>
      <c r="V43" s="68"/>
      <c r="W43" s="68"/>
      <c r="X43" s="68"/>
      <c r="Y43" s="68"/>
      <c r="Z43" s="68"/>
      <c r="AA43" s="68"/>
      <c r="AB43" s="68"/>
      <c r="AC43" s="68"/>
      <c r="AD43" s="68"/>
      <c r="AE43" s="68"/>
      <c r="AF43" s="68"/>
      <c r="AG43" s="68"/>
      <c r="AH43" s="68"/>
      <c r="AI43" s="68"/>
      <c r="AJ43" s="68"/>
      <c r="AK43" s="68"/>
      <c r="AL43" s="68"/>
      <c r="AM43" s="68"/>
      <c r="AN43" s="68"/>
      <c r="AO43" s="68"/>
      <c r="AP43" s="68"/>
      <c r="AQ43" s="68"/>
      <c r="AR43" s="68"/>
      <c r="AS43" s="68"/>
      <c r="AT43" s="68"/>
      <c r="AU43" s="68"/>
      <c r="AV43" s="68"/>
      <c r="AW43" s="68"/>
      <c r="AX43" s="68"/>
      <c r="AY43" s="73"/>
    </row>
    <row r="44" spans="1:51" ht="13.5" customHeight="1" x14ac:dyDescent="0.25">
      <c r="A44" s="108"/>
      <c r="B44" s="109"/>
      <c r="C44" s="95"/>
      <c r="D44" s="95"/>
      <c r="E44" s="111">
        <f>Приход!D40*$T$16</f>
        <v>0</v>
      </c>
      <c r="F44" s="111">
        <f t="shared" si="6"/>
        <v>0</v>
      </c>
      <c r="G44" s="111">
        <f t="shared" si="7"/>
        <v>0</v>
      </c>
      <c r="H44" s="95"/>
      <c r="I44" s="95"/>
      <c r="J44" s="112"/>
      <c r="K44" s="50" t="s">
        <v>0</v>
      </c>
      <c r="L44" s="51">
        <f>SUM(J45:J66)</f>
        <v>572970</v>
      </c>
      <c r="M44" s="135" t="s">
        <v>69</v>
      </c>
      <c r="N44" s="136">
        <f>SUM(I45:I66)</f>
        <v>343782</v>
      </c>
      <c r="O44" s="115" t="s">
        <v>70</v>
      </c>
      <c r="P44" s="116">
        <f>SUM(H45:H66)</f>
        <v>372430.5</v>
      </c>
      <c r="Q44" s="72"/>
      <c r="R44" s="68"/>
      <c r="S44" s="68"/>
      <c r="T44" s="68"/>
      <c r="U44" s="68"/>
      <c r="V44" s="68"/>
      <c r="W44" s="68"/>
      <c r="X44" s="68"/>
      <c r="Y44" s="68"/>
      <c r="Z44" s="68"/>
      <c r="AA44" s="68"/>
      <c r="AB44" s="68"/>
      <c r="AC44" s="68"/>
      <c r="AD44" s="68"/>
      <c r="AE44" s="68"/>
      <c r="AF44" s="68"/>
      <c r="AG44" s="68"/>
      <c r="AH44" s="68"/>
      <c r="AI44" s="68"/>
      <c r="AJ44" s="68"/>
      <c r="AK44" s="68"/>
      <c r="AL44" s="68"/>
      <c r="AM44" s="68"/>
      <c r="AN44" s="68"/>
      <c r="AO44" s="68"/>
      <c r="AP44" s="68"/>
      <c r="AQ44" s="68"/>
      <c r="AR44" s="68"/>
      <c r="AS44" s="68"/>
      <c r="AT44" s="68"/>
      <c r="AU44" s="68"/>
      <c r="AV44" s="68"/>
      <c r="AW44" s="68"/>
      <c r="AX44" s="68"/>
      <c r="AY44" s="73"/>
    </row>
    <row r="45" spans="1:51" ht="15" customHeight="1" x14ac:dyDescent="0.25">
      <c r="A45" s="137">
        <v>37</v>
      </c>
      <c r="B45" s="53" t="s">
        <v>40</v>
      </c>
      <c r="C45" s="54">
        <v>1</v>
      </c>
      <c r="D45" s="14">
        <f>Приход!$D41*2</f>
        <v>21990</v>
      </c>
      <c r="E45" s="13">
        <f>Приход!D41*$T$16</f>
        <v>12754.199999999999</v>
      </c>
      <c r="F45" s="138">
        <f t="shared" si="6"/>
        <v>12754.199999999999</v>
      </c>
      <c r="G45" s="14">
        <f t="shared" si="7"/>
        <v>14293.5</v>
      </c>
      <c r="H45" s="13">
        <f t="shared" ref="H45:H66" si="8">G45*C45</f>
        <v>14293.5</v>
      </c>
      <c r="I45" s="13">
        <f>D45*0.6*Приход!C41</f>
        <v>13194</v>
      </c>
      <c r="J45" s="139">
        <f t="shared" ref="J45:J66" si="9">C45*D45</f>
        <v>21990</v>
      </c>
      <c r="K45" s="92"/>
      <c r="L45" s="93"/>
      <c r="M45" s="68"/>
      <c r="N45" s="68"/>
      <c r="O45" s="93"/>
      <c r="P45" s="93"/>
      <c r="Q45" s="68"/>
      <c r="R45" s="68"/>
      <c r="S45" s="68"/>
      <c r="T45" s="68"/>
      <c r="U45" s="68"/>
      <c r="V45" s="68"/>
      <c r="W45" s="68"/>
      <c r="X45" s="68"/>
      <c r="Y45" s="68"/>
      <c r="Z45" s="68"/>
      <c r="AA45" s="68"/>
      <c r="AB45" s="68"/>
      <c r="AC45" s="68"/>
      <c r="AD45" s="68"/>
      <c r="AE45" s="68"/>
      <c r="AF45" s="68"/>
      <c r="AG45" s="68"/>
      <c r="AH45" s="68"/>
      <c r="AI45" s="68"/>
      <c r="AJ45" s="68"/>
      <c r="AK45" s="68"/>
      <c r="AL45" s="68"/>
      <c r="AM45" s="68"/>
      <c r="AN45" s="68"/>
      <c r="AO45" s="68"/>
      <c r="AP45" s="68"/>
      <c r="AQ45" s="68"/>
      <c r="AR45" s="68"/>
      <c r="AS45" s="68"/>
      <c r="AT45" s="68"/>
      <c r="AU45" s="68"/>
      <c r="AV45" s="68"/>
      <c r="AW45" s="68"/>
      <c r="AX45" s="68"/>
      <c r="AY45" s="73"/>
    </row>
    <row r="46" spans="1:51" ht="15" customHeight="1" x14ac:dyDescent="0.25">
      <c r="A46" s="137">
        <v>38</v>
      </c>
      <c r="B46" s="53" t="s">
        <v>41</v>
      </c>
      <c r="C46" s="54">
        <v>10</v>
      </c>
      <c r="D46" s="14">
        <f>Приход!$D42*2</f>
        <v>6920</v>
      </c>
      <c r="E46" s="13">
        <f>Приход!D42*$T$16</f>
        <v>4013.6</v>
      </c>
      <c r="F46" s="138">
        <f t="shared" si="6"/>
        <v>40136</v>
      </c>
      <c r="G46" s="14">
        <f t="shared" si="7"/>
        <v>4498</v>
      </c>
      <c r="H46" s="13">
        <f t="shared" si="8"/>
        <v>44980</v>
      </c>
      <c r="I46" s="13">
        <f>D46*0.6*Приход!C42</f>
        <v>41520</v>
      </c>
      <c r="J46" s="139">
        <f t="shared" si="9"/>
        <v>69200</v>
      </c>
      <c r="K46" s="72"/>
      <c r="L46" s="68"/>
      <c r="M46" s="68"/>
      <c r="N46" s="68"/>
      <c r="O46" s="68"/>
      <c r="P46" s="68"/>
      <c r="Q46" s="68"/>
      <c r="R46" s="68"/>
      <c r="S46" s="68"/>
      <c r="T46" s="68"/>
      <c r="U46" s="68"/>
      <c r="V46" s="68"/>
      <c r="W46" s="68"/>
      <c r="X46" s="68"/>
      <c r="Y46" s="68"/>
      <c r="Z46" s="68"/>
      <c r="AA46" s="68"/>
      <c r="AB46" s="68"/>
      <c r="AC46" s="68"/>
      <c r="AD46" s="68"/>
      <c r="AE46" s="68"/>
      <c r="AF46" s="68"/>
      <c r="AG46" s="68"/>
      <c r="AH46" s="68"/>
      <c r="AI46" s="68"/>
      <c r="AJ46" s="68"/>
      <c r="AK46" s="68"/>
      <c r="AL46" s="68"/>
      <c r="AM46" s="68"/>
      <c r="AN46" s="68"/>
      <c r="AO46" s="68"/>
      <c r="AP46" s="68"/>
      <c r="AQ46" s="68"/>
      <c r="AR46" s="68"/>
      <c r="AS46" s="68"/>
      <c r="AT46" s="68"/>
      <c r="AU46" s="68"/>
      <c r="AV46" s="68"/>
      <c r="AW46" s="68"/>
      <c r="AX46" s="68"/>
      <c r="AY46" s="73"/>
    </row>
    <row r="47" spans="1:51" ht="15" customHeight="1" x14ac:dyDescent="0.25">
      <c r="A47" s="137">
        <v>39</v>
      </c>
      <c r="B47" s="53" t="s">
        <v>42</v>
      </c>
      <c r="C47" s="54">
        <v>5</v>
      </c>
      <c r="D47" s="14">
        <f>Приход!$D43*2</f>
        <v>4830</v>
      </c>
      <c r="E47" s="13">
        <f>Приход!D43*$T$16</f>
        <v>2801.3999999999996</v>
      </c>
      <c r="F47" s="138">
        <f t="shared" si="6"/>
        <v>14006.999999999998</v>
      </c>
      <c r="G47" s="14">
        <f t="shared" si="7"/>
        <v>3139.5</v>
      </c>
      <c r="H47" s="13">
        <f t="shared" si="8"/>
        <v>15697.5</v>
      </c>
      <c r="I47" s="13">
        <f>D47*0.6*Приход!C43</f>
        <v>14490</v>
      </c>
      <c r="J47" s="139">
        <f t="shared" si="9"/>
        <v>24150</v>
      </c>
      <c r="K47" s="72"/>
      <c r="L47" s="68"/>
      <c r="M47" s="68"/>
      <c r="N47" s="68"/>
      <c r="O47" s="68"/>
      <c r="P47" s="68"/>
      <c r="Q47" s="68"/>
      <c r="R47" s="68"/>
      <c r="S47" s="68"/>
      <c r="T47" s="68"/>
      <c r="U47" s="68"/>
      <c r="V47" s="68"/>
      <c r="W47" s="68"/>
      <c r="X47" s="68"/>
      <c r="Y47" s="68"/>
      <c r="Z47" s="68"/>
      <c r="AA47" s="68"/>
      <c r="AB47" s="68"/>
      <c r="AC47" s="68"/>
      <c r="AD47" s="68"/>
      <c r="AE47" s="68"/>
      <c r="AF47" s="68"/>
      <c r="AG47" s="68"/>
      <c r="AH47" s="68"/>
      <c r="AI47" s="68"/>
      <c r="AJ47" s="68"/>
      <c r="AK47" s="68"/>
      <c r="AL47" s="68"/>
      <c r="AM47" s="68"/>
      <c r="AN47" s="68"/>
      <c r="AO47" s="68"/>
      <c r="AP47" s="68"/>
      <c r="AQ47" s="68"/>
      <c r="AR47" s="68"/>
      <c r="AS47" s="68"/>
      <c r="AT47" s="68"/>
      <c r="AU47" s="68"/>
      <c r="AV47" s="68"/>
      <c r="AW47" s="68"/>
      <c r="AX47" s="68"/>
      <c r="AY47" s="73"/>
    </row>
    <row r="48" spans="1:51" ht="15" customHeight="1" x14ac:dyDescent="0.25">
      <c r="A48" s="137">
        <v>40</v>
      </c>
      <c r="B48" s="53" t="s">
        <v>43</v>
      </c>
      <c r="C48" s="54">
        <v>5</v>
      </c>
      <c r="D48" s="14">
        <f>Приход!$D44*2</f>
        <v>4830</v>
      </c>
      <c r="E48" s="13">
        <f>Приход!D44*$T$16</f>
        <v>2801.3999999999996</v>
      </c>
      <c r="F48" s="138">
        <f t="shared" si="6"/>
        <v>14006.999999999998</v>
      </c>
      <c r="G48" s="14">
        <f t="shared" si="7"/>
        <v>3139.5</v>
      </c>
      <c r="H48" s="13">
        <f t="shared" si="8"/>
        <v>15697.5</v>
      </c>
      <c r="I48" s="13">
        <f>D48*0.6*Приход!C44</f>
        <v>14490</v>
      </c>
      <c r="J48" s="139">
        <f t="shared" si="9"/>
        <v>24150</v>
      </c>
      <c r="K48" s="72"/>
      <c r="L48" s="68"/>
      <c r="M48" s="68"/>
      <c r="N48" s="68"/>
      <c r="O48" s="68"/>
      <c r="P48" s="68"/>
      <c r="Q48" s="68"/>
      <c r="R48" s="68"/>
      <c r="S48" s="68"/>
      <c r="T48" s="68"/>
      <c r="U48" s="68"/>
      <c r="V48" s="68"/>
      <c r="W48" s="68"/>
      <c r="X48" s="68"/>
      <c r="Y48" s="68"/>
      <c r="Z48" s="68"/>
      <c r="AA48" s="68"/>
      <c r="AB48" s="68"/>
      <c r="AC48" s="68"/>
      <c r="AD48" s="68"/>
      <c r="AE48" s="68"/>
      <c r="AF48" s="68"/>
      <c r="AG48" s="68"/>
      <c r="AH48" s="68"/>
      <c r="AI48" s="68"/>
      <c r="AJ48" s="68"/>
      <c r="AK48" s="68"/>
      <c r="AL48" s="68"/>
      <c r="AM48" s="68"/>
      <c r="AN48" s="68"/>
      <c r="AO48" s="68"/>
      <c r="AP48" s="68"/>
      <c r="AQ48" s="68"/>
      <c r="AR48" s="68"/>
      <c r="AS48" s="68"/>
      <c r="AT48" s="68"/>
      <c r="AU48" s="68"/>
      <c r="AV48" s="68"/>
      <c r="AW48" s="68"/>
      <c r="AX48" s="68"/>
      <c r="AY48" s="73"/>
    </row>
    <row r="49" spans="1:51" ht="15" customHeight="1" x14ac:dyDescent="0.25">
      <c r="A49" s="137">
        <v>41</v>
      </c>
      <c r="B49" s="53" t="s">
        <v>44</v>
      </c>
      <c r="C49" s="54">
        <v>1</v>
      </c>
      <c r="D49" s="14">
        <f>Приход!$D45*2</f>
        <v>6040</v>
      </c>
      <c r="E49" s="13">
        <f>Приход!D45*$T$16</f>
        <v>3503.2</v>
      </c>
      <c r="F49" s="138">
        <f t="shared" si="6"/>
        <v>3503.2</v>
      </c>
      <c r="G49" s="14">
        <f t="shared" si="7"/>
        <v>3926</v>
      </c>
      <c r="H49" s="13">
        <f t="shared" si="8"/>
        <v>3926</v>
      </c>
      <c r="I49" s="13">
        <f>D49*0.6*Приход!C45</f>
        <v>3624</v>
      </c>
      <c r="J49" s="139">
        <f t="shared" si="9"/>
        <v>6040</v>
      </c>
      <c r="K49" s="72"/>
      <c r="L49" s="68"/>
      <c r="M49" s="68"/>
      <c r="N49" s="68"/>
      <c r="O49" s="68"/>
      <c r="P49" s="68"/>
      <c r="Q49" s="68"/>
      <c r="R49" s="68"/>
      <c r="S49" s="68"/>
      <c r="T49" s="68"/>
      <c r="U49" s="68"/>
      <c r="V49" s="68"/>
      <c r="W49" s="68"/>
      <c r="X49" s="68"/>
      <c r="Y49" s="68"/>
      <c r="Z49" s="68"/>
      <c r="AA49" s="68"/>
      <c r="AB49" s="68"/>
      <c r="AC49" s="68"/>
      <c r="AD49" s="68"/>
      <c r="AE49" s="68"/>
      <c r="AF49" s="68"/>
      <c r="AG49" s="68"/>
      <c r="AH49" s="68"/>
      <c r="AI49" s="68"/>
      <c r="AJ49" s="68"/>
      <c r="AK49" s="68"/>
      <c r="AL49" s="68"/>
      <c r="AM49" s="68"/>
      <c r="AN49" s="68"/>
      <c r="AO49" s="68"/>
      <c r="AP49" s="68"/>
      <c r="AQ49" s="68"/>
      <c r="AR49" s="68"/>
      <c r="AS49" s="68"/>
      <c r="AT49" s="68"/>
      <c r="AU49" s="68"/>
      <c r="AV49" s="68"/>
      <c r="AW49" s="68"/>
      <c r="AX49" s="68"/>
      <c r="AY49" s="73"/>
    </row>
    <row r="50" spans="1:51" ht="15" customHeight="1" x14ac:dyDescent="0.25">
      <c r="A50" s="137">
        <v>42</v>
      </c>
      <c r="B50" s="53" t="s">
        <v>45</v>
      </c>
      <c r="C50" s="54">
        <v>1</v>
      </c>
      <c r="D50" s="14">
        <f>Приход!$D46*2</f>
        <v>3890</v>
      </c>
      <c r="E50" s="13">
        <f>Приход!D46*$T$16</f>
        <v>2256.1999999999998</v>
      </c>
      <c r="F50" s="138">
        <f t="shared" si="6"/>
        <v>2256.1999999999998</v>
      </c>
      <c r="G50" s="14">
        <f t="shared" si="7"/>
        <v>2528.5</v>
      </c>
      <c r="H50" s="13">
        <f t="shared" si="8"/>
        <v>2528.5</v>
      </c>
      <c r="I50" s="13">
        <f>D50*0.6*Приход!C46</f>
        <v>2334</v>
      </c>
      <c r="J50" s="139">
        <f t="shared" si="9"/>
        <v>3890</v>
      </c>
      <c r="K50" s="72"/>
      <c r="L50" s="68"/>
      <c r="M50" s="68"/>
      <c r="N50" s="68"/>
      <c r="O50" s="68"/>
      <c r="P50" s="68"/>
      <c r="Q50" s="68"/>
      <c r="R50" s="68"/>
      <c r="S50" s="68"/>
      <c r="T50" s="68"/>
      <c r="U50" s="68"/>
      <c r="V50" s="68"/>
      <c r="W50" s="68"/>
      <c r="X50" s="68"/>
      <c r="Y50" s="68"/>
      <c r="Z50" s="68"/>
      <c r="AA50" s="68"/>
      <c r="AB50" s="68"/>
      <c r="AC50" s="68"/>
      <c r="AD50" s="68"/>
      <c r="AE50" s="68"/>
      <c r="AF50" s="68"/>
      <c r="AG50" s="68"/>
      <c r="AH50" s="68"/>
      <c r="AI50" s="68"/>
      <c r="AJ50" s="68"/>
      <c r="AK50" s="68"/>
      <c r="AL50" s="68"/>
      <c r="AM50" s="68"/>
      <c r="AN50" s="68"/>
      <c r="AO50" s="68"/>
      <c r="AP50" s="68"/>
      <c r="AQ50" s="68"/>
      <c r="AR50" s="68"/>
      <c r="AS50" s="68"/>
      <c r="AT50" s="68"/>
      <c r="AU50" s="68"/>
      <c r="AV50" s="68"/>
      <c r="AW50" s="68"/>
      <c r="AX50" s="68"/>
      <c r="AY50" s="73"/>
    </row>
    <row r="51" spans="1:51" ht="27" customHeight="1" x14ac:dyDescent="0.25">
      <c r="A51" s="137">
        <v>43</v>
      </c>
      <c r="B51" s="53" t="s">
        <v>46</v>
      </c>
      <c r="C51" s="54">
        <v>1</v>
      </c>
      <c r="D51" s="14">
        <f>Приход!$D47*2</f>
        <v>7140</v>
      </c>
      <c r="E51" s="13">
        <f>Приход!D47*$T$16</f>
        <v>4141.2</v>
      </c>
      <c r="F51" s="138">
        <f t="shared" si="6"/>
        <v>4141.2</v>
      </c>
      <c r="G51" s="14">
        <f t="shared" si="7"/>
        <v>4641</v>
      </c>
      <c r="H51" s="13">
        <f t="shared" si="8"/>
        <v>4641</v>
      </c>
      <c r="I51" s="13">
        <f>D51*0.6*Приход!C47</f>
        <v>4284</v>
      </c>
      <c r="J51" s="139">
        <f t="shared" si="9"/>
        <v>7140</v>
      </c>
      <c r="K51" s="72"/>
      <c r="L51" s="68"/>
      <c r="M51" s="68"/>
      <c r="N51" s="68"/>
      <c r="O51" s="68"/>
      <c r="P51" s="68"/>
      <c r="Q51" s="68"/>
      <c r="R51" s="68"/>
      <c r="S51" s="68"/>
      <c r="T51" s="68"/>
      <c r="U51" s="68"/>
      <c r="V51" s="68"/>
      <c r="W51" s="68"/>
      <c r="X51" s="68"/>
      <c r="Y51" s="68"/>
      <c r="Z51" s="68"/>
      <c r="AA51" s="68"/>
      <c r="AB51" s="68"/>
      <c r="AC51" s="68"/>
      <c r="AD51" s="68"/>
      <c r="AE51" s="68"/>
      <c r="AF51" s="68"/>
      <c r="AG51" s="68"/>
      <c r="AH51" s="68"/>
      <c r="AI51" s="68"/>
      <c r="AJ51" s="68"/>
      <c r="AK51" s="68"/>
      <c r="AL51" s="68"/>
      <c r="AM51" s="68"/>
      <c r="AN51" s="68"/>
      <c r="AO51" s="68"/>
      <c r="AP51" s="68"/>
      <c r="AQ51" s="68"/>
      <c r="AR51" s="68"/>
      <c r="AS51" s="68"/>
      <c r="AT51" s="68"/>
      <c r="AU51" s="68"/>
      <c r="AV51" s="68"/>
      <c r="AW51" s="68"/>
      <c r="AX51" s="68"/>
      <c r="AY51" s="73"/>
    </row>
    <row r="52" spans="1:51" ht="27" customHeight="1" x14ac:dyDescent="0.25">
      <c r="A52" s="137">
        <v>44</v>
      </c>
      <c r="B52" s="53" t="s">
        <v>47</v>
      </c>
      <c r="C52" s="54">
        <v>1</v>
      </c>
      <c r="D52" s="14">
        <f>Приход!$D48*2</f>
        <v>10880</v>
      </c>
      <c r="E52" s="13">
        <f>Приход!D48*$T$16</f>
        <v>6310.4</v>
      </c>
      <c r="F52" s="138">
        <f t="shared" si="6"/>
        <v>6310.4</v>
      </c>
      <c r="G52" s="14">
        <f t="shared" si="7"/>
        <v>7072</v>
      </c>
      <c r="H52" s="13">
        <f t="shared" si="8"/>
        <v>7072</v>
      </c>
      <c r="I52" s="13">
        <f>D52*0.6*Приход!C48</f>
        <v>6528</v>
      </c>
      <c r="J52" s="139">
        <f t="shared" si="9"/>
        <v>10880</v>
      </c>
      <c r="K52" s="72"/>
      <c r="L52" s="68"/>
      <c r="M52" s="68"/>
      <c r="N52" s="68"/>
      <c r="O52" s="68"/>
      <c r="P52" s="68"/>
      <c r="Q52" s="68"/>
      <c r="R52" s="68"/>
      <c r="S52" s="68"/>
      <c r="T52" s="68"/>
      <c r="U52" s="68"/>
      <c r="V52" s="68"/>
      <c r="W52" s="68"/>
      <c r="X52" s="68"/>
      <c r="Y52" s="68"/>
      <c r="Z52" s="68"/>
      <c r="AA52" s="68"/>
      <c r="AB52" s="68"/>
      <c r="AC52" s="68"/>
      <c r="AD52" s="68"/>
      <c r="AE52" s="68"/>
      <c r="AF52" s="68"/>
      <c r="AG52" s="68"/>
      <c r="AH52" s="68"/>
      <c r="AI52" s="68"/>
      <c r="AJ52" s="68"/>
      <c r="AK52" s="68"/>
      <c r="AL52" s="68"/>
      <c r="AM52" s="68"/>
      <c r="AN52" s="68"/>
      <c r="AO52" s="68"/>
      <c r="AP52" s="68"/>
      <c r="AQ52" s="68"/>
      <c r="AR52" s="68"/>
      <c r="AS52" s="68"/>
      <c r="AT52" s="68"/>
      <c r="AU52" s="68"/>
      <c r="AV52" s="68"/>
      <c r="AW52" s="68"/>
      <c r="AX52" s="68"/>
      <c r="AY52" s="73"/>
    </row>
    <row r="53" spans="1:51" ht="27" customHeight="1" x14ac:dyDescent="0.25">
      <c r="A53" s="137">
        <v>45</v>
      </c>
      <c r="B53" s="53" t="s">
        <v>48</v>
      </c>
      <c r="C53" s="54">
        <v>10</v>
      </c>
      <c r="D53" s="14">
        <f>Приход!$D49*2</f>
        <v>5050</v>
      </c>
      <c r="E53" s="13">
        <f>Приход!D49*$T$16</f>
        <v>2929</v>
      </c>
      <c r="F53" s="138">
        <f t="shared" si="6"/>
        <v>29290</v>
      </c>
      <c r="G53" s="14">
        <f t="shared" si="7"/>
        <v>3282.5</v>
      </c>
      <c r="H53" s="13">
        <f t="shared" si="8"/>
        <v>32825</v>
      </c>
      <c r="I53" s="13">
        <f>D53*0.6*Приход!C49</f>
        <v>30300</v>
      </c>
      <c r="J53" s="139">
        <f t="shared" si="9"/>
        <v>50500</v>
      </c>
      <c r="K53" s="72"/>
      <c r="L53" s="68"/>
      <c r="M53" s="68"/>
      <c r="N53" s="68"/>
      <c r="O53" s="68"/>
      <c r="P53" s="68"/>
      <c r="Q53" s="68"/>
      <c r="R53" s="68"/>
      <c r="S53" s="68"/>
      <c r="T53" s="68"/>
      <c r="U53" s="68"/>
      <c r="V53" s="68"/>
      <c r="W53" s="68"/>
      <c r="X53" s="68"/>
      <c r="Y53" s="68"/>
      <c r="Z53" s="68"/>
      <c r="AA53" s="68"/>
      <c r="AB53" s="68"/>
      <c r="AC53" s="68"/>
      <c r="AD53" s="68"/>
      <c r="AE53" s="68"/>
      <c r="AF53" s="68"/>
      <c r="AG53" s="68"/>
      <c r="AH53" s="68"/>
      <c r="AI53" s="68"/>
      <c r="AJ53" s="68"/>
      <c r="AK53" s="68"/>
      <c r="AL53" s="68"/>
      <c r="AM53" s="68"/>
      <c r="AN53" s="68"/>
      <c r="AO53" s="68"/>
      <c r="AP53" s="68"/>
      <c r="AQ53" s="68"/>
      <c r="AR53" s="68"/>
      <c r="AS53" s="68"/>
      <c r="AT53" s="68"/>
      <c r="AU53" s="68"/>
      <c r="AV53" s="68"/>
      <c r="AW53" s="68"/>
      <c r="AX53" s="68"/>
      <c r="AY53" s="73"/>
    </row>
    <row r="54" spans="1:51" ht="27" customHeight="1" x14ac:dyDescent="0.25">
      <c r="A54" s="137">
        <v>46</v>
      </c>
      <c r="B54" s="53" t="s">
        <v>49</v>
      </c>
      <c r="C54" s="54">
        <v>5</v>
      </c>
      <c r="D54" s="14">
        <f>Приход!$D50*2</f>
        <v>5050</v>
      </c>
      <c r="E54" s="13">
        <f>Приход!D50*$T$16</f>
        <v>2929</v>
      </c>
      <c r="F54" s="138">
        <f t="shared" si="6"/>
        <v>14645</v>
      </c>
      <c r="G54" s="14">
        <f t="shared" si="7"/>
        <v>3282.5</v>
      </c>
      <c r="H54" s="13">
        <f t="shared" si="8"/>
        <v>16412.5</v>
      </c>
      <c r="I54" s="13">
        <f>D54*0.6*Приход!C50</f>
        <v>15150</v>
      </c>
      <c r="J54" s="139">
        <f t="shared" si="9"/>
        <v>25250</v>
      </c>
      <c r="K54" s="72"/>
      <c r="L54" s="68"/>
      <c r="M54" s="68"/>
      <c r="N54" s="68"/>
      <c r="O54" s="68"/>
      <c r="P54" s="68"/>
      <c r="Q54" s="68"/>
      <c r="R54" s="68"/>
      <c r="S54" s="68"/>
      <c r="T54" s="68"/>
      <c r="U54" s="68"/>
      <c r="V54" s="68"/>
      <c r="W54" s="68"/>
      <c r="X54" s="68"/>
      <c r="Y54" s="68"/>
      <c r="Z54" s="68"/>
      <c r="AA54" s="68"/>
      <c r="AB54" s="68"/>
      <c r="AC54" s="68"/>
      <c r="AD54" s="68"/>
      <c r="AE54" s="68"/>
      <c r="AF54" s="68"/>
      <c r="AG54" s="68"/>
      <c r="AH54" s="68"/>
      <c r="AI54" s="68"/>
      <c r="AJ54" s="68"/>
      <c r="AK54" s="68"/>
      <c r="AL54" s="68"/>
      <c r="AM54" s="68"/>
      <c r="AN54" s="68"/>
      <c r="AO54" s="68"/>
      <c r="AP54" s="68"/>
      <c r="AQ54" s="68"/>
      <c r="AR54" s="68"/>
      <c r="AS54" s="68"/>
      <c r="AT54" s="68"/>
      <c r="AU54" s="68"/>
      <c r="AV54" s="68"/>
      <c r="AW54" s="68"/>
      <c r="AX54" s="68"/>
      <c r="AY54" s="73"/>
    </row>
    <row r="55" spans="1:51" ht="15" customHeight="1" x14ac:dyDescent="0.25">
      <c r="A55" s="137">
        <v>47</v>
      </c>
      <c r="B55" s="53" t="s">
        <v>50</v>
      </c>
      <c r="C55" s="54">
        <v>5</v>
      </c>
      <c r="D55" s="14">
        <f>Приход!$D51*2</f>
        <v>6920</v>
      </c>
      <c r="E55" s="13">
        <f>Приход!D51*$T$16</f>
        <v>4013.6</v>
      </c>
      <c r="F55" s="138">
        <f t="shared" si="6"/>
        <v>20068</v>
      </c>
      <c r="G55" s="14">
        <f t="shared" si="7"/>
        <v>4498</v>
      </c>
      <c r="H55" s="13">
        <f t="shared" si="8"/>
        <v>22490</v>
      </c>
      <c r="I55" s="13">
        <f>D55*0.6*Приход!C51</f>
        <v>20760</v>
      </c>
      <c r="J55" s="139">
        <f t="shared" si="9"/>
        <v>34600</v>
      </c>
      <c r="K55" s="72"/>
      <c r="L55" s="68"/>
      <c r="M55" s="68"/>
      <c r="N55" s="68"/>
      <c r="O55" s="68"/>
      <c r="P55" s="68"/>
      <c r="Q55" s="68"/>
      <c r="R55" s="68"/>
      <c r="S55" s="68"/>
      <c r="T55" s="68"/>
      <c r="U55" s="68"/>
      <c r="V55" s="68"/>
      <c r="W55" s="68"/>
      <c r="X55" s="68"/>
      <c r="Y55" s="68"/>
      <c r="Z55" s="68"/>
      <c r="AA55" s="68"/>
      <c r="AB55" s="68"/>
      <c r="AC55" s="68"/>
      <c r="AD55" s="68"/>
      <c r="AE55" s="68"/>
      <c r="AF55" s="68"/>
      <c r="AG55" s="68"/>
      <c r="AH55" s="68"/>
      <c r="AI55" s="68"/>
      <c r="AJ55" s="68"/>
      <c r="AK55" s="68"/>
      <c r="AL55" s="68"/>
      <c r="AM55" s="68"/>
      <c r="AN55" s="68"/>
      <c r="AO55" s="68"/>
      <c r="AP55" s="68"/>
      <c r="AQ55" s="68"/>
      <c r="AR55" s="68"/>
      <c r="AS55" s="68"/>
      <c r="AT55" s="68"/>
      <c r="AU55" s="68"/>
      <c r="AV55" s="68"/>
      <c r="AW55" s="68"/>
      <c r="AX55" s="68"/>
      <c r="AY55" s="73"/>
    </row>
    <row r="56" spans="1:51" ht="15" customHeight="1" x14ac:dyDescent="0.25">
      <c r="A56" s="137">
        <v>48</v>
      </c>
      <c r="B56" s="53" t="s">
        <v>51</v>
      </c>
      <c r="C56" s="54">
        <v>2</v>
      </c>
      <c r="D56" s="14">
        <f>Приход!$D52*2</f>
        <v>7140</v>
      </c>
      <c r="E56" s="13">
        <f>Приход!D52*$T$16</f>
        <v>4141.2</v>
      </c>
      <c r="F56" s="138">
        <f t="shared" si="6"/>
        <v>8282.4</v>
      </c>
      <c r="G56" s="14">
        <f t="shared" si="7"/>
        <v>4641</v>
      </c>
      <c r="H56" s="13">
        <f t="shared" si="8"/>
        <v>9282</v>
      </c>
      <c r="I56" s="13">
        <f>D56*0.6*Приход!C52</f>
        <v>8568</v>
      </c>
      <c r="J56" s="139">
        <f t="shared" si="9"/>
        <v>14280</v>
      </c>
      <c r="K56" s="72"/>
      <c r="L56" s="68"/>
      <c r="M56" s="68"/>
      <c r="N56" s="68"/>
      <c r="O56" s="68"/>
      <c r="P56" s="68"/>
      <c r="Q56" s="68"/>
      <c r="R56" s="68"/>
      <c r="S56" s="68"/>
      <c r="T56" s="68"/>
      <c r="U56" s="68"/>
      <c r="V56" s="68"/>
      <c r="W56" s="68"/>
      <c r="X56" s="68"/>
      <c r="Y56" s="68"/>
      <c r="Z56" s="68"/>
      <c r="AA56" s="68"/>
      <c r="AB56" s="68"/>
      <c r="AC56" s="68"/>
      <c r="AD56" s="68"/>
      <c r="AE56" s="68"/>
      <c r="AF56" s="68"/>
      <c r="AG56" s="68"/>
      <c r="AH56" s="68"/>
      <c r="AI56" s="68"/>
      <c r="AJ56" s="68"/>
      <c r="AK56" s="68"/>
      <c r="AL56" s="68"/>
      <c r="AM56" s="68"/>
      <c r="AN56" s="68"/>
      <c r="AO56" s="68"/>
      <c r="AP56" s="68"/>
      <c r="AQ56" s="68"/>
      <c r="AR56" s="68"/>
      <c r="AS56" s="68"/>
      <c r="AT56" s="68"/>
      <c r="AU56" s="68"/>
      <c r="AV56" s="68"/>
      <c r="AW56" s="68"/>
      <c r="AX56" s="68"/>
      <c r="AY56" s="73"/>
    </row>
    <row r="57" spans="1:51" ht="15" customHeight="1" x14ac:dyDescent="0.25">
      <c r="A57" s="137">
        <v>49</v>
      </c>
      <c r="B57" s="53" t="s">
        <v>52</v>
      </c>
      <c r="C57" s="54">
        <v>2</v>
      </c>
      <c r="D57" s="14">
        <f>Приход!$D53*2</f>
        <v>5380</v>
      </c>
      <c r="E57" s="13">
        <f>Приход!D53*$T$16</f>
        <v>3120.3999999999996</v>
      </c>
      <c r="F57" s="138">
        <f t="shared" si="6"/>
        <v>6240.7999999999993</v>
      </c>
      <c r="G57" s="14">
        <f t="shared" si="7"/>
        <v>3497</v>
      </c>
      <c r="H57" s="13">
        <f t="shared" si="8"/>
        <v>6994</v>
      </c>
      <c r="I57" s="13">
        <f>D57*0.6*Приход!C53</f>
        <v>6456</v>
      </c>
      <c r="J57" s="139">
        <f t="shared" si="9"/>
        <v>10760</v>
      </c>
      <c r="K57" s="72"/>
      <c r="L57" s="68"/>
      <c r="M57" s="68"/>
      <c r="N57" s="68"/>
      <c r="O57" s="68"/>
      <c r="P57" s="68"/>
      <c r="Q57" s="68"/>
      <c r="R57" s="68"/>
      <c r="S57" s="68"/>
      <c r="T57" s="68"/>
      <c r="U57" s="68"/>
      <c r="V57" s="68"/>
      <c r="W57" s="68"/>
      <c r="X57" s="68"/>
      <c r="Y57" s="68"/>
      <c r="Z57" s="68"/>
      <c r="AA57" s="68"/>
      <c r="AB57" s="68"/>
      <c r="AC57" s="68"/>
      <c r="AD57" s="68"/>
      <c r="AE57" s="68"/>
      <c r="AF57" s="68"/>
      <c r="AG57" s="68"/>
      <c r="AH57" s="68"/>
      <c r="AI57" s="68"/>
      <c r="AJ57" s="68"/>
      <c r="AK57" s="68"/>
      <c r="AL57" s="68"/>
      <c r="AM57" s="68"/>
      <c r="AN57" s="68"/>
      <c r="AO57" s="68"/>
      <c r="AP57" s="68"/>
      <c r="AQ57" s="68"/>
      <c r="AR57" s="68"/>
      <c r="AS57" s="68"/>
      <c r="AT57" s="68"/>
      <c r="AU57" s="68"/>
      <c r="AV57" s="68"/>
      <c r="AW57" s="68"/>
      <c r="AX57" s="68"/>
      <c r="AY57" s="73"/>
    </row>
    <row r="58" spans="1:51" ht="15" customHeight="1" x14ac:dyDescent="0.25">
      <c r="A58" s="137">
        <v>50</v>
      </c>
      <c r="B58" s="53" t="s">
        <v>53</v>
      </c>
      <c r="C58" s="54">
        <v>3</v>
      </c>
      <c r="D58" s="14">
        <f>Приход!$D54*2</f>
        <v>5050</v>
      </c>
      <c r="E58" s="13">
        <f>Приход!D54*$T$16</f>
        <v>2929</v>
      </c>
      <c r="F58" s="138">
        <f t="shared" si="6"/>
        <v>8787</v>
      </c>
      <c r="G58" s="14">
        <f t="shared" si="7"/>
        <v>3282.5</v>
      </c>
      <c r="H58" s="13">
        <f t="shared" si="8"/>
        <v>9847.5</v>
      </c>
      <c r="I58" s="13">
        <f>D58*0.6*Приход!C54</f>
        <v>9090</v>
      </c>
      <c r="J58" s="139">
        <f t="shared" si="9"/>
        <v>15150</v>
      </c>
      <c r="K58" s="72"/>
      <c r="L58" s="68"/>
      <c r="M58" s="68"/>
      <c r="N58" s="68"/>
      <c r="O58" s="68"/>
      <c r="P58" s="68"/>
      <c r="Q58" s="68"/>
      <c r="R58" s="68"/>
      <c r="S58" s="68"/>
      <c r="T58" s="68"/>
      <c r="U58" s="68"/>
      <c r="V58" s="68"/>
      <c r="W58" s="68"/>
      <c r="X58" s="68"/>
      <c r="Y58" s="68"/>
      <c r="Z58" s="68"/>
      <c r="AA58" s="68"/>
      <c r="AB58" s="68"/>
      <c r="AC58" s="68"/>
      <c r="AD58" s="68"/>
      <c r="AE58" s="68"/>
      <c r="AF58" s="68"/>
      <c r="AG58" s="68"/>
      <c r="AH58" s="68"/>
      <c r="AI58" s="68"/>
      <c r="AJ58" s="68"/>
      <c r="AK58" s="68"/>
      <c r="AL58" s="68"/>
      <c r="AM58" s="68"/>
      <c r="AN58" s="68"/>
      <c r="AO58" s="68"/>
      <c r="AP58" s="68"/>
      <c r="AQ58" s="68"/>
      <c r="AR58" s="68"/>
      <c r="AS58" s="68"/>
      <c r="AT58" s="68"/>
      <c r="AU58" s="68"/>
      <c r="AV58" s="68"/>
      <c r="AW58" s="68"/>
      <c r="AX58" s="68"/>
      <c r="AY58" s="73"/>
    </row>
    <row r="59" spans="1:51" ht="15" customHeight="1" x14ac:dyDescent="0.25">
      <c r="A59" s="137">
        <v>51</v>
      </c>
      <c r="B59" s="53" t="s">
        <v>54</v>
      </c>
      <c r="C59" s="54">
        <v>2</v>
      </c>
      <c r="D59" s="14">
        <f>Приход!$D55*2</f>
        <v>7470</v>
      </c>
      <c r="E59" s="13">
        <f>Приход!D55*$T$16</f>
        <v>4332.5999999999995</v>
      </c>
      <c r="F59" s="138">
        <f t="shared" si="6"/>
        <v>8665.1999999999989</v>
      </c>
      <c r="G59" s="14">
        <f t="shared" si="7"/>
        <v>4855.5</v>
      </c>
      <c r="H59" s="13">
        <f t="shared" si="8"/>
        <v>9711</v>
      </c>
      <c r="I59" s="13">
        <f>D59*0.6*Приход!C55</f>
        <v>8964</v>
      </c>
      <c r="J59" s="139">
        <f t="shared" si="9"/>
        <v>14940</v>
      </c>
      <c r="K59" s="72"/>
      <c r="L59" s="68"/>
      <c r="M59" s="68"/>
      <c r="N59" s="68"/>
      <c r="O59" s="68"/>
      <c r="P59" s="68"/>
      <c r="Q59" s="68"/>
      <c r="R59" s="68"/>
      <c r="S59" s="68"/>
      <c r="T59" s="68"/>
      <c r="U59" s="68"/>
      <c r="V59" s="68"/>
      <c r="W59" s="68"/>
      <c r="X59" s="68"/>
      <c r="Y59" s="68"/>
      <c r="Z59" s="68"/>
      <c r="AA59" s="68"/>
      <c r="AB59" s="68"/>
      <c r="AC59" s="68"/>
      <c r="AD59" s="68"/>
      <c r="AE59" s="68"/>
      <c r="AF59" s="68"/>
      <c r="AG59" s="68"/>
      <c r="AH59" s="68"/>
      <c r="AI59" s="68"/>
      <c r="AJ59" s="68"/>
      <c r="AK59" s="68"/>
      <c r="AL59" s="68"/>
      <c r="AM59" s="68"/>
      <c r="AN59" s="68"/>
      <c r="AO59" s="68"/>
      <c r="AP59" s="68"/>
      <c r="AQ59" s="68"/>
      <c r="AR59" s="68"/>
      <c r="AS59" s="68"/>
      <c r="AT59" s="68"/>
      <c r="AU59" s="68"/>
      <c r="AV59" s="68"/>
      <c r="AW59" s="68"/>
      <c r="AX59" s="68"/>
      <c r="AY59" s="73"/>
    </row>
    <row r="60" spans="1:51" ht="15" customHeight="1" x14ac:dyDescent="0.25">
      <c r="A60" s="137">
        <v>52</v>
      </c>
      <c r="B60" s="53" t="s">
        <v>55</v>
      </c>
      <c r="C60" s="54">
        <v>3</v>
      </c>
      <c r="D60" s="14">
        <f>Приход!$D56*2</f>
        <v>6920</v>
      </c>
      <c r="E60" s="13">
        <f>Приход!D56*$T$16</f>
        <v>4013.6</v>
      </c>
      <c r="F60" s="138">
        <f t="shared" si="6"/>
        <v>12040.8</v>
      </c>
      <c r="G60" s="14">
        <f t="shared" si="7"/>
        <v>4498</v>
      </c>
      <c r="H60" s="13">
        <f t="shared" si="8"/>
        <v>13494</v>
      </c>
      <c r="I60" s="13">
        <f>D60*0.6*Приход!C56</f>
        <v>12456</v>
      </c>
      <c r="J60" s="139">
        <f t="shared" si="9"/>
        <v>20760</v>
      </c>
      <c r="K60" s="72"/>
      <c r="L60" s="68"/>
      <c r="M60" s="68"/>
      <c r="N60" s="68"/>
      <c r="O60" s="68"/>
      <c r="P60" s="68"/>
      <c r="Q60" s="68"/>
      <c r="R60" s="68"/>
      <c r="S60" s="68"/>
      <c r="T60" s="68"/>
      <c r="U60" s="68"/>
      <c r="V60" s="68"/>
      <c r="W60" s="68"/>
      <c r="X60" s="68"/>
      <c r="Y60" s="68"/>
      <c r="Z60" s="68"/>
      <c r="AA60" s="68"/>
      <c r="AB60" s="68"/>
      <c r="AC60" s="68"/>
      <c r="AD60" s="68"/>
      <c r="AE60" s="68"/>
      <c r="AF60" s="68"/>
      <c r="AG60" s="68"/>
      <c r="AH60" s="68"/>
      <c r="AI60" s="68"/>
      <c r="AJ60" s="68"/>
      <c r="AK60" s="68"/>
      <c r="AL60" s="68"/>
      <c r="AM60" s="68"/>
      <c r="AN60" s="68"/>
      <c r="AO60" s="68"/>
      <c r="AP60" s="68"/>
      <c r="AQ60" s="68"/>
      <c r="AR60" s="68"/>
      <c r="AS60" s="68"/>
      <c r="AT60" s="68"/>
      <c r="AU60" s="68"/>
      <c r="AV60" s="68"/>
      <c r="AW60" s="68"/>
      <c r="AX60" s="68"/>
      <c r="AY60" s="73"/>
    </row>
    <row r="61" spans="1:51" ht="27" customHeight="1" x14ac:dyDescent="0.25">
      <c r="A61" s="137">
        <v>53</v>
      </c>
      <c r="B61" s="53" t="s">
        <v>56</v>
      </c>
      <c r="C61" s="54">
        <v>4</v>
      </c>
      <c r="D61" s="14">
        <f>Приход!$D57*2</f>
        <v>8790</v>
      </c>
      <c r="E61" s="13">
        <f>Приход!D57*$T$16</f>
        <v>5098.2</v>
      </c>
      <c r="F61" s="138">
        <f t="shared" si="6"/>
        <v>20392.8</v>
      </c>
      <c r="G61" s="14">
        <f t="shared" si="7"/>
        <v>5713.5</v>
      </c>
      <c r="H61" s="13">
        <f t="shared" si="8"/>
        <v>22854</v>
      </c>
      <c r="I61" s="13">
        <f>D61*0.6*Приход!C57</f>
        <v>21096</v>
      </c>
      <c r="J61" s="139">
        <f t="shared" si="9"/>
        <v>35160</v>
      </c>
      <c r="K61" s="72"/>
      <c r="L61" s="68"/>
      <c r="M61" s="68"/>
      <c r="N61" s="68"/>
      <c r="O61" s="68"/>
      <c r="P61" s="68"/>
      <c r="Q61" s="68"/>
      <c r="R61" s="68"/>
      <c r="S61" s="68"/>
      <c r="T61" s="68"/>
      <c r="U61" s="68"/>
      <c r="V61" s="68"/>
      <c r="W61" s="68"/>
      <c r="X61" s="68"/>
      <c r="Y61" s="68"/>
      <c r="Z61" s="68"/>
      <c r="AA61" s="68"/>
      <c r="AB61" s="68"/>
      <c r="AC61" s="68"/>
      <c r="AD61" s="68"/>
      <c r="AE61" s="68"/>
      <c r="AF61" s="68"/>
      <c r="AG61" s="68"/>
      <c r="AH61" s="68"/>
      <c r="AI61" s="68"/>
      <c r="AJ61" s="68"/>
      <c r="AK61" s="68"/>
      <c r="AL61" s="68"/>
      <c r="AM61" s="68"/>
      <c r="AN61" s="68"/>
      <c r="AO61" s="68"/>
      <c r="AP61" s="68"/>
      <c r="AQ61" s="68"/>
      <c r="AR61" s="68"/>
      <c r="AS61" s="68"/>
      <c r="AT61" s="68"/>
      <c r="AU61" s="68"/>
      <c r="AV61" s="68"/>
      <c r="AW61" s="68"/>
      <c r="AX61" s="68"/>
      <c r="AY61" s="73"/>
    </row>
    <row r="62" spans="1:51" ht="27" customHeight="1" x14ac:dyDescent="0.25">
      <c r="A62" s="137">
        <v>54</v>
      </c>
      <c r="B62" s="53" t="s">
        <v>57</v>
      </c>
      <c r="C62" s="54">
        <v>2</v>
      </c>
      <c r="D62" s="14">
        <f>Приход!$D58*2</f>
        <v>8790</v>
      </c>
      <c r="E62" s="13">
        <f>Приход!D58*$T$16</f>
        <v>5098.2</v>
      </c>
      <c r="F62" s="138">
        <f t="shared" si="6"/>
        <v>10196.4</v>
      </c>
      <c r="G62" s="14">
        <f t="shared" si="7"/>
        <v>5713.5</v>
      </c>
      <c r="H62" s="13">
        <f t="shared" si="8"/>
        <v>11427</v>
      </c>
      <c r="I62" s="13">
        <f>D62*0.6*Приход!C58</f>
        <v>10548</v>
      </c>
      <c r="J62" s="139">
        <f t="shared" si="9"/>
        <v>17580</v>
      </c>
      <c r="K62" s="72"/>
      <c r="L62" s="68"/>
      <c r="M62" s="68"/>
      <c r="N62" s="68"/>
      <c r="O62" s="68"/>
      <c r="P62" s="68"/>
      <c r="Q62" s="68"/>
      <c r="R62" s="68"/>
      <c r="S62" s="68"/>
      <c r="T62" s="68"/>
      <c r="U62" s="68"/>
      <c r="V62" s="68"/>
      <c r="W62" s="68"/>
      <c r="X62" s="68"/>
      <c r="Y62" s="68"/>
      <c r="Z62" s="68"/>
      <c r="AA62" s="68"/>
      <c r="AB62" s="68"/>
      <c r="AC62" s="68"/>
      <c r="AD62" s="68"/>
      <c r="AE62" s="68"/>
      <c r="AF62" s="68"/>
      <c r="AG62" s="68"/>
      <c r="AH62" s="68"/>
      <c r="AI62" s="68"/>
      <c r="AJ62" s="68"/>
      <c r="AK62" s="68"/>
      <c r="AL62" s="68"/>
      <c r="AM62" s="68"/>
      <c r="AN62" s="68"/>
      <c r="AO62" s="68"/>
      <c r="AP62" s="68"/>
      <c r="AQ62" s="68"/>
      <c r="AR62" s="68"/>
      <c r="AS62" s="68"/>
      <c r="AT62" s="68"/>
      <c r="AU62" s="68"/>
      <c r="AV62" s="68"/>
      <c r="AW62" s="68"/>
      <c r="AX62" s="68"/>
      <c r="AY62" s="73"/>
    </row>
    <row r="63" spans="1:51" ht="27" customHeight="1" x14ac:dyDescent="0.25">
      <c r="A63" s="137">
        <v>55</v>
      </c>
      <c r="B63" s="53" t="s">
        <v>58</v>
      </c>
      <c r="C63" s="54">
        <v>5</v>
      </c>
      <c r="D63" s="14">
        <f>Приход!$D59*2</f>
        <v>8790</v>
      </c>
      <c r="E63" s="13">
        <f>Приход!D59*$T$16</f>
        <v>5098.2</v>
      </c>
      <c r="F63" s="138">
        <f t="shared" si="6"/>
        <v>25491</v>
      </c>
      <c r="G63" s="14">
        <f t="shared" si="7"/>
        <v>5713.5</v>
      </c>
      <c r="H63" s="13">
        <f t="shared" si="8"/>
        <v>28567.5</v>
      </c>
      <c r="I63" s="13">
        <f>D63*0.6*Приход!C59</f>
        <v>26370</v>
      </c>
      <c r="J63" s="139">
        <f t="shared" si="9"/>
        <v>43950</v>
      </c>
      <c r="K63" s="72"/>
      <c r="L63" s="68"/>
      <c r="M63" s="68"/>
      <c r="N63" s="68"/>
      <c r="O63" s="68"/>
      <c r="P63" s="68"/>
      <c r="Q63" s="68"/>
      <c r="R63" s="68"/>
      <c r="S63" s="68"/>
      <c r="T63" s="68"/>
      <c r="U63" s="68"/>
      <c r="V63" s="68"/>
      <c r="W63" s="68"/>
      <c r="X63" s="68"/>
      <c r="Y63" s="68"/>
      <c r="Z63" s="68"/>
      <c r="AA63" s="68"/>
      <c r="AB63" s="68"/>
      <c r="AC63" s="68"/>
      <c r="AD63" s="68"/>
      <c r="AE63" s="68"/>
      <c r="AF63" s="68"/>
      <c r="AG63" s="68"/>
      <c r="AH63" s="68"/>
      <c r="AI63" s="68"/>
      <c r="AJ63" s="68"/>
      <c r="AK63" s="68"/>
      <c r="AL63" s="68"/>
      <c r="AM63" s="68"/>
      <c r="AN63" s="68"/>
      <c r="AO63" s="68"/>
      <c r="AP63" s="68"/>
      <c r="AQ63" s="68"/>
      <c r="AR63" s="68"/>
      <c r="AS63" s="68"/>
      <c r="AT63" s="68"/>
      <c r="AU63" s="68"/>
      <c r="AV63" s="68"/>
      <c r="AW63" s="68"/>
      <c r="AX63" s="68"/>
      <c r="AY63" s="73"/>
    </row>
    <row r="64" spans="1:51" ht="15" customHeight="1" x14ac:dyDescent="0.25">
      <c r="A64" s="137">
        <v>56</v>
      </c>
      <c r="B64" s="53" t="s">
        <v>59</v>
      </c>
      <c r="C64" s="54">
        <v>2</v>
      </c>
      <c r="D64" s="14">
        <f>Приход!$D60*2</f>
        <v>10320</v>
      </c>
      <c r="E64" s="13">
        <f>Приход!D60*$T$16</f>
        <v>5985.5999999999995</v>
      </c>
      <c r="F64" s="138">
        <f t="shared" si="6"/>
        <v>11971.199999999999</v>
      </c>
      <c r="G64" s="14">
        <f t="shared" si="7"/>
        <v>6708</v>
      </c>
      <c r="H64" s="13">
        <f t="shared" si="8"/>
        <v>13416</v>
      </c>
      <c r="I64" s="13">
        <f>D64*0.6*Приход!C60</f>
        <v>12384</v>
      </c>
      <c r="J64" s="139">
        <f t="shared" si="9"/>
        <v>20640</v>
      </c>
      <c r="K64" s="72"/>
      <c r="L64" s="68"/>
      <c r="M64" s="68"/>
      <c r="N64" s="68"/>
      <c r="O64" s="68"/>
      <c r="P64" s="68"/>
      <c r="Q64" s="68"/>
      <c r="R64" s="68"/>
      <c r="S64" s="68"/>
      <c r="T64" s="68"/>
      <c r="U64" s="68"/>
      <c r="V64" s="68"/>
      <c r="W64" s="68"/>
      <c r="X64" s="68"/>
      <c r="Y64" s="68"/>
      <c r="Z64" s="68"/>
      <c r="AA64" s="68"/>
      <c r="AB64" s="68"/>
      <c r="AC64" s="68"/>
      <c r="AD64" s="68"/>
      <c r="AE64" s="68"/>
      <c r="AF64" s="68"/>
      <c r="AG64" s="68"/>
      <c r="AH64" s="68"/>
      <c r="AI64" s="68"/>
      <c r="AJ64" s="68"/>
      <c r="AK64" s="68"/>
      <c r="AL64" s="68"/>
      <c r="AM64" s="68"/>
      <c r="AN64" s="68"/>
      <c r="AO64" s="68"/>
      <c r="AP64" s="68"/>
      <c r="AQ64" s="68"/>
      <c r="AR64" s="68"/>
      <c r="AS64" s="68"/>
      <c r="AT64" s="68"/>
      <c r="AU64" s="68"/>
      <c r="AV64" s="68"/>
      <c r="AW64" s="68"/>
      <c r="AX64" s="68"/>
      <c r="AY64" s="73"/>
    </row>
    <row r="65" spans="1:51" ht="15" customHeight="1" x14ac:dyDescent="0.25">
      <c r="A65" s="137">
        <v>57</v>
      </c>
      <c r="B65" s="53" t="s">
        <v>60</v>
      </c>
      <c r="C65" s="54">
        <v>2</v>
      </c>
      <c r="D65" s="14">
        <f>Приход!$D61*2</f>
        <v>22420</v>
      </c>
      <c r="E65" s="13">
        <f>Приход!D61*$T$16</f>
        <v>13003.599999999999</v>
      </c>
      <c r="F65" s="138">
        <f t="shared" si="6"/>
        <v>26007.199999999997</v>
      </c>
      <c r="G65" s="14">
        <f t="shared" si="7"/>
        <v>14573</v>
      </c>
      <c r="H65" s="13">
        <f t="shared" si="8"/>
        <v>29146</v>
      </c>
      <c r="I65" s="13">
        <f>D65*0.6*Приход!C61</f>
        <v>26904</v>
      </c>
      <c r="J65" s="139">
        <f t="shared" si="9"/>
        <v>44840</v>
      </c>
      <c r="K65" s="72"/>
      <c r="L65" s="68"/>
      <c r="M65" s="68"/>
      <c r="N65" s="68"/>
      <c r="O65" s="68"/>
      <c r="P65" s="68"/>
      <c r="Q65" s="68"/>
      <c r="R65" s="68"/>
      <c r="S65" s="68"/>
      <c r="T65" s="68"/>
      <c r="U65" s="68"/>
      <c r="V65" s="68"/>
      <c r="W65" s="68"/>
      <c r="X65" s="68"/>
      <c r="Y65" s="68"/>
      <c r="Z65" s="68"/>
      <c r="AA65" s="68"/>
      <c r="AB65" s="68"/>
      <c r="AC65" s="68"/>
      <c r="AD65" s="68"/>
      <c r="AE65" s="68"/>
      <c r="AF65" s="68"/>
      <c r="AG65" s="68"/>
      <c r="AH65" s="68"/>
      <c r="AI65" s="68"/>
      <c r="AJ65" s="68"/>
      <c r="AK65" s="68"/>
      <c r="AL65" s="68"/>
      <c r="AM65" s="68"/>
      <c r="AN65" s="68"/>
      <c r="AO65" s="68"/>
      <c r="AP65" s="68"/>
      <c r="AQ65" s="68"/>
      <c r="AR65" s="68"/>
      <c r="AS65" s="68"/>
      <c r="AT65" s="68"/>
      <c r="AU65" s="68"/>
      <c r="AV65" s="68"/>
      <c r="AW65" s="68"/>
      <c r="AX65" s="68"/>
      <c r="AY65" s="73"/>
    </row>
    <row r="66" spans="1:51" ht="15" customHeight="1" x14ac:dyDescent="0.25">
      <c r="A66" s="137">
        <v>58</v>
      </c>
      <c r="B66" s="53" t="s">
        <v>61</v>
      </c>
      <c r="C66" s="54">
        <v>4</v>
      </c>
      <c r="D66" s="14">
        <f>Приход!$D62*2</f>
        <v>14280</v>
      </c>
      <c r="E66" s="13">
        <f>Приход!D62*$T$16</f>
        <v>8282.4</v>
      </c>
      <c r="F66" s="138">
        <f t="shared" si="6"/>
        <v>33129.599999999999</v>
      </c>
      <c r="G66" s="14">
        <f t="shared" si="7"/>
        <v>9282</v>
      </c>
      <c r="H66" s="13">
        <f t="shared" si="8"/>
        <v>37128</v>
      </c>
      <c r="I66" s="13">
        <f>D66*0.6*Приход!C62</f>
        <v>34272</v>
      </c>
      <c r="J66" s="139">
        <f t="shared" si="9"/>
        <v>57120</v>
      </c>
      <c r="K66" s="72"/>
      <c r="L66" s="68"/>
      <c r="M66" s="68"/>
      <c r="N66" s="68"/>
      <c r="O66" s="68"/>
      <c r="P66" s="68"/>
      <c r="Q66" s="68"/>
      <c r="R66" s="68"/>
      <c r="S66" s="68"/>
      <c r="T66" s="68"/>
      <c r="U66" s="68"/>
      <c r="V66" s="68"/>
      <c r="W66" s="68"/>
      <c r="X66" s="68"/>
      <c r="Y66" s="68"/>
      <c r="Z66" s="68"/>
      <c r="AA66" s="68"/>
      <c r="AB66" s="68"/>
      <c r="AC66" s="68"/>
      <c r="AD66" s="68"/>
      <c r="AE66" s="68"/>
      <c r="AF66" s="68"/>
      <c r="AG66" s="68"/>
      <c r="AH66" s="68"/>
      <c r="AI66" s="68"/>
      <c r="AJ66" s="68"/>
      <c r="AK66" s="68"/>
      <c r="AL66" s="68"/>
      <c r="AM66" s="68"/>
      <c r="AN66" s="68"/>
      <c r="AO66" s="68"/>
      <c r="AP66" s="68"/>
      <c r="AQ66" s="68"/>
      <c r="AR66" s="68"/>
      <c r="AS66" s="68"/>
      <c r="AT66" s="68"/>
      <c r="AU66" s="68"/>
      <c r="AV66" s="68"/>
      <c r="AW66" s="68"/>
      <c r="AX66" s="68"/>
      <c r="AY66" s="73"/>
    </row>
    <row r="67" spans="1:51" ht="13.15" customHeight="1" x14ac:dyDescent="0.25">
      <c r="A67" s="140">
        <v>59</v>
      </c>
      <c r="B67" s="141"/>
      <c r="C67" s="93"/>
      <c r="D67" s="93"/>
      <c r="E67" s="93"/>
      <c r="F67" s="93"/>
      <c r="G67" s="93"/>
      <c r="H67" s="93"/>
      <c r="I67" s="93"/>
      <c r="J67" s="93"/>
      <c r="K67" s="68"/>
      <c r="L67" s="68"/>
      <c r="M67" s="68"/>
      <c r="N67" s="68"/>
      <c r="O67" s="68"/>
      <c r="P67" s="68"/>
      <c r="Q67" s="68"/>
      <c r="R67" s="68"/>
      <c r="S67" s="68"/>
      <c r="T67" s="68"/>
      <c r="U67" s="68"/>
      <c r="V67" s="68"/>
      <c r="W67" s="68"/>
      <c r="X67" s="68"/>
      <c r="Y67" s="68"/>
      <c r="Z67" s="68"/>
      <c r="AA67" s="68"/>
      <c r="AB67" s="68"/>
      <c r="AC67" s="68"/>
      <c r="AD67" s="68"/>
      <c r="AE67" s="68"/>
      <c r="AF67" s="68"/>
      <c r="AG67" s="68"/>
      <c r="AH67" s="68"/>
      <c r="AI67" s="68"/>
      <c r="AJ67" s="68"/>
      <c r="AK67" s="68"/>
      <c r="AL67" s="68"/>
      <c r="AM67" s="68"/>
      <c r="AN67" s="68"/>
      <c r="AO67" s="68"/>
      <c r="AP67" s="68"/>
      <c r="AQ67" s="68"/>
      <c r="AR67" s="68"/>
      <c r="AS67" s="68"/>
      <c r="AT67" s="68"/>
      <c r="AU67" s="68"/>
      <c r="AV67" s="68"/>
      <c r="AW67" s="68"/>
      <c r="AX67" s="68"/>
      <c r="AY67" s="73"/>
    </row>
    <row r="68" spans="1:51" ht="12.95" customHeight="1" x14ac:dyDescent="0.25">
      <c r="A68" s="142">
        <v>60</v>
      </c>
      <c r="B68" s="143"/>
      <c r="C68" s="68"/>
      <c r="D68" s="68"/>
      <c r="E68" s="68"/>
      <c r="F68" s="68"/>
      <c r="G68" s="68"/>
      <c r="H68" s="68"/>
      <c r="I68" s="68"/>
      <c r="J68" s="68"/>
      <c r="K68" s="68"/>
      <c r="L68" s="68"/>
      <c r="M68" s="68"/>
      <c r="N68" s="68"/>
      <c r="O68" s="68"/>
      <c r="P68" s="68"/>
      <c r="Q68" s="68"/>
      <c r="R68" s="68"/>
      <c r="S68" s="68"/>
      <c r="T68" s="68"/>
      <c r="U68" s="68"/>
      <c r="V68" s="68"/>
      <c r="W68" s="68"/>
      <c r="X68" s="68"/>
      <c r="Y68" s="68"/>
      <c r="Z68" s="68"/>
      <c r="AA68" s="68"/>
      <c r="AB68" s="68"/>
      <c r="AC68" s="68"/>
      <c r="AD68" s="68"/>
      <c r="AE68" s="68"/>
      <c r="AF68" s="68"/>
      <c r="AG68" s="68"/>
      <c r="AH68" s="68"/>
      <c r="AI68" s="68"/>
      <c r="AJ68" s="68"/>
      <c r="AK68" s="68"/>
      <c r="AL68" s="68"/>
      <c r="AM68" s="68"/>
      <c r="AN68" s="68"/>
      <c r="AO68" s="68"/>
      <c r="AP68" s="68"/>
      <c r="AQ68" s="68"/>
      <c r="AR68" s="68"/>
      <c r="AS68" s="68"/>
      <c r="AT68" s="68"/>
      <c r="AU68" s="68"/>
      <c r="AV68" s="68"/>
      <c r="AW68" s="68"/>
      <c r="AX68" s="68"/>
      <c r="AY68" s="73"/>
    </row>
    <row r="69" spans="1:51" ht="12.95" customHeight="1" x14ac:dyDescent="0.25">
      <c r="A69" s="142">
        <v>61</v>
      </c>
      <c r="B69" s="143"/>
      <c r="C69" s="68"/>
      <c r="D69" s="68"/>
      <c r="E69" s="68"/>
      <c r="F69" s="68"/>
      <c r="G69" s="68"/>
      <c r="H69" s="68"/>
      <c r="I69" s="68"/>
      <c r="J69" s="68"/>
      <c r="K69" s="68"/>
      <c r="L69" s="68"/>
      <c r="M69" s="68"/>
      <c r="N69" s="68"/>
      <c r="O69" s="68"/>
      <c r="P69" s="68"/>
      <c r="Q69" s="68"/>
      <c r="R69" s="68"/>
      <c r="S69" s="68"/>
      <c r="T69" s="68"/>
      <c r="U69" s="68"/>
      <c r="V69" s="68"/>
      <c r="W69" s="68"/>
      <c r="X69" s="68"/>
      <c r="Y69" s="68"/>
      <c r="Z69" s="68"/>
      <c r="AA69" s="68"/>
      <c r="AB69" s="68"/>
      <c r="AC69" s="68"/>
      <c r="AD69" s="68"/>
      <c r="AE69" s="68"/>
      <c r="AF69" s="68"/>
      <c r="AG69" s="68"/>
      <c r="AH69" s="68"/>
      <c r="AI69" s="68"/>
      <c r="AJ69" s="68"/>
      <c r="AK69" s="68"/>
      <c r="AL69" s="68"/>
      <c r="AM69" s="68"/>
      <c r="AN69" s="68"/>
      <c r="AO69" s="68"/>
      <c r="AP69" s="68"/>
      <c r="AQ69" s="68"/>
      <c r="AR69" s="68"/>
      <c r="AS69" s="68"/>
      <c r="AT69" s="68"/>
      <c r="AU69" s="68"/>
      <c r="AV69" s="68"/>
      <c r="AW69" s="68"/>
      <c r="AX69" s="68"/>
      <c r="AY69" s="73"/>
    </row>
    <row r="70" spans="1:51" ht="12.95" customHeight="1" x14ac:dyDescent="0.25">
      <c r="A70" s="142">
        <v>62</v>
      </c>
      <c r="B70" s="143"/>
      <c r="C70" s="68"/>
      <c r="D70" s="68"/>
      <c r="E70" s="68"/>
      <c r="F70" s="68"/>
      <c r="G70" s="68"/>
      <c r="H70" s="68"/>
      <c r="I70" s="68"/>
      <c r="J70" s="68"/>
      <c r="K70" s="68"/>
      <c r="L70" s="68"/>
      <c r="M70" s="68"/>
      <c r="N70" s="68"/>
      <c r="O70" s="68"/>
      <c r="P70" s="68"/>
      <c r="Q70" s="68"/>
      <c r="R70" s="68"/>
      <c r="S70" s="68"/>
      <c r="T70" s="68"/>
      <c r="U70" s="68"/>
      <c r="V70" s="68"/>
      <c r="W70" s="68"/>
      <c r="X70" s="68"/>
      <c r="Y70" s="68"/>
      <c r="Z70" s="68"/>
      <c r="AA70" s="68"/>
      <c r="AB70" s="68"/>
      <c r="AC70" s="68"/>
      <c r="AD70" s="68"/>
      <c r="AE70" s="68"/>
      <c r="AF70" s="68"/>
      <c r="AG70" s="68"/>
      <c r="AH70" s="68"/>
      <c r="AI70" s="68"/>
      <c r="AJ70" s="68"/>
      <c r="AK70" s="68"/>
      <c r="AL70" s="68"/>
      <c r="AM70" s="68"/>
      <c r="AN70" s="68"/>
      <c r="AO70" s="68"/>
      <c r="AP70" s="68"/>
      <c r="AQ70" s="68"/>
      <c r="AR70" s="68"/>
      <c r="AS70" s="68"/>
      <c r="AT70" s="68"/>
      <c r="AU70" s="68"/>
      <c r="AV70" s="68"/>
      <c r="AW70" s="68"/>
      <c r="AX70" s="68"/>
      <c r="AY70" s="73"/>
    </row>
    <row r="71" spans="1:51" ht="12.95" customHeight="1" x14ac:dyDescent="0.25">
      <c r="A71" s="142">
        <v>63</v>
      </c>
      <c r="B71" s="143"/>
      <c r="C71" s="68"/>
      <c r="D71" s="68"/>
      <c r="E71" s="68"/>
      <c r="F71" s="68"/>
      <c r="G71" s="68"/>
      <c r="H71" s="68"/>
      <c r="I71" s="68"/>
      <c r="J71" s="68"/>
      <c r="K71" s="68"/>
      <c r="L71" s="68"/>
      <c r="M71" s="68"/>
      <c r="N71" s="68"/>
      <c r="O71" s="68"/>
      <c r="P71" s="68"/>
      <c r="Q71" s="68"/>
      <c r="R71" s="68"/>
      <c r="S71" s="68"/>
      <c r="T71" s="68"/>
      <c r="U71" s="68"/>
      <c r="V71" s="68"/>
      <c r="W71" s="68"/>
      <c r="X71" s="68"/>
      <c r="Y71" s="68"/>
      <c r="Z71" s="68"/>
      <c r="AA71" s="68"/>
      <c r="AB71" s="68"/>
      <c r="AC71" s="68"/>
      <c r="AD71" s="68"/>
      <c r="AE71" s="68"/>
      <c r="AF71" s="68"/>
      <c r="AG71" s="68"/>
      <c r="AH71" s="68"/>
      <c r="AI71" s="68"/>
      <c r="AJ71" s="68"/>
      <c r="AK71" s="68"/>
      <c r="AL71" s="68"/>
      <c r="AM71" s="68"/>
      <c r="AN71" s="68"/>
      <c r="AO71" s="68"/>
      <c r="AP71" s="68"/>
      <c r="AQ71" s="68"/>
      <c r="AR71" s="68"/>
      <c r="AS71" s="68"/>
      <c r="AT71" s="68"/>
      <c r="AU71" s="68"/>
      <c r="AV71" s="68"/>
      <c r="AW71" s="68"/>
      <c r="AX71" s="68"/>
      <c r="AY71" s="73"/>
    </row>
    <row r="72" spans="1:51" ht="12.95" customHeight="1" x14ac:dyDescent="0.25">
      <c r="A72" s="142">
        <v>64</v>
      </c>
      <c r="B72" s="143"/>
      <c r="C72" s="68"/>
      <c r="D72" s="68"/>
      <c r="E72" s="68"/>
      <c r="F72" s="68"/>
      <c r="G72" s="68"/>
      <c r="H72" s="68"/>
      <c r="I72" s="68"/>
      <c r="J72" s="68"/>
      <c r="K72" s="68"/>
      <c r="L72" s="68"/>
      <c r="M72" s="68"/>
      <c r="N72" s="68"/>
      <c r="O72" s="68"/>
      <c r="P72" s="68"/>
      <c r="Q72" s="68"/>
      <c r="R72" s="68"/>
      <c r="S72" s="68"/>
      <c r="T72" s="68"/>
      <c r="U72" s="68"/>
      <c r="V72" s="68"/>
      <c r="W72" s="68"/>
      <c r="X72" s="68"/>
      <c r="Y72" s="68"/>
      <c r="Z72" s="68"/>
      <c r="AA72" s="68"/>
      <c r="AB72" s="68"/>
      <c r="AC72" s="68"/>
      <c r="AD72" s="68"/>
      <c r="AE72" s="68"/>
      <c r="AF72" s="68"/>
      <c r="AG72" s="68"/>
      <c r="AH72" s="68"/>
      <c r="AI72" s="68"/>
      <c r="AJ72" s="68"/>
      <c r="AK72" s="68"/>
      <c r="AL72" s="68"/>
      <c r="AM72" s="68"/>
      <c r="AN72" s="68"/>
      <c r="AO72" s="68"/>
      <c r="AP72" s="68"/>
      <c r="AQ72" s="68"/>
      <c r="AR72" s="68"/>
      <c r="AS72" s="68"/>
      <c r="AT72" s="68"/>
      <c r="AU72" s="68"/>
      <c r="AV72" s="68"/>
      <c r="AW72" s="68"/>
      <c r="AX72" s="68"/>
      <c r="AY72" s="73"/>
    </row>
    <row r="73" spans="1:51" ht="12.95" customHeight="1" x14ac:dyDescent="0.25">
      <c r="A73" s="142">
        <v>65</v>
      </c>
      <c r="B73" s="143"/>
      <c r="C73" s="68"/>
      <c r="D73" s="68"/>
      <c r="E73" s="68"/>
      <c r="F73" s="68"/>
      <c r="G73" s="68"/>
      <c r="H73" s="68"/>
      <c r="I73" s="68"/>
      <c r="J73" s="68"/>
      <c r="K73" s="68"/>
      <c r="L73" s="68"/>
      <c r="M73" s="68"/>
      <c r="N73" s="68"/>
      <c r="O73" s="68"/>
      <c r="P73" s="68"/>
      <c r="Q73" s="68"/>
      <c r="R73" s="68"/>
      <c r="S73" s="68"/>
      <c r="T73" s="68"/>
      <c r="U73" s="68"/>
      <c r="V73" s="68"/>
      <c r="W73" s="68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8"/>
      <c r="AL73" s="68"/>
      <c r="AM73" s="68"/>
      <c r="AN73" s="68"/>
      <c r="AO73" s="68"/>
      <c r="AP73" s="68"/>
      <c r="AQ73" s="68"/>
      <c r="AR73" s="68"/>
      <c r="AS73" s="68"/>
      <c r="AT73" s="68"/>
      <c r="AU73" s="68"/>
      <c r="AV73" s="68"/>
      <c r="AW73" s="68"/>
      <c r="AX73" s="68"/>
      <c r="AY73" s="73"/>
    </row>
    <row r="74" spans="1:51" ht="12.95" customHeight="1" x14ac:dyDescent="0.25">
      <c r="A74" s="142">
        <v>66</v>
      </c>
      <c r="B74" s="143"/>
      <c r="C74" s="68"/>
      <c r="D74" s="68"/>
      <c r="E74" s="68"/>
      <c r="F74" s="68"/>
      <c r="G74" s="68"/>
      <c r="H74" s="68"/>
      <c r="I74" s="68"/>
      <c r="J74" s="68"/>
      <c r="K74" s="68"/>
      <c r="L74" s="68"/>
      <c r="M74" s="68"/>
      <c r="N74" s="68"/>
      <c r="O74" s="68"/>
      <c r="P74" s="68"/>
      <c r="Q74" s="68"/>
      <c r="R74" s="68"/>
      <c r="S74" s="68"/>
      <c r="T74" s="68"/>
      <c r="U74" s="68"/>
      <c r="V74" s="68"/>
      <c r="W74" s="68"/>
      <c r="X74" s="68"/>
      <c r="Y74" s="68"/>
      <c r="Z74" s="68"/>
      <c r="AA74" s="68"/>
      <c r="AB74" s="68"/>
      <c r="AC74" s="68"/>
      <c r="AD74" s="68"/>
      <c r="AE74" s="68"/>
      <c r="AF74" s="68"/>
      <c r="AG74" s="68"/>
      <c r="AH74" s="68"/>
      <c r="AI74" s="68"/>
      <c r="AJ74" s="68"/>
      <c r="AK74" s="68"/>
      <c r="AL74" s="68"/>
      <c r="AM74" s="68"/>
      <c r="AN74" s="68"/>
      <c r="AO74" s="68"/>
      <c r="AP74" s="68"/>
      <c r="AQ74" s="68"/>
      <c r="AR74" s="68"/>
      <c r="AS74" s="68"/>
      <c r="AT74" s="68"/>
      <c r="AU74" s="68"/>
      <c r="AV74" s="68"/>
      <c r="AW74" s="68"/>
      <c r="AX74" s="68"/>
      <c r="AY74" s="73"/>
    </row>
    <row r="75" spans="1:51" ht="12.95" customHeight="1" x14ac:dyDescent="0.25">
      <c r="A75" s="142">
        <v>67</v>
      </c>
      <c r="B75" s="143"/>
      <c r="C75" s="68"/>
      <c r="D75" s="68"/>
      <c r="E75" s="68"/>
      <c r="F75" s="68"/>
      <c r="G75" s="68"/>
      <c r="H75" s="68"/>
      <c r="I75" s="68"/>
      <c r="J75" s="68"/>
      <c r="K75" s="68"/>
      <c r="L75" s="68"/>
      <c r="M75" s="68"/>
      <c r="N75" s="68"/>
      <c r="O75" s="68"/>
      <c r="P75" s="68"/>
      <c r="Q75" s="68"/>
      <c r="R75" s="68"/>
      <c r="S75" s="68"/>
      <c r="T75" s="68"/>
      <c r="U75" s="68"/>
      <c r="V75" s="68"/>
      <c r="W75" s="68"/>
      <c r="X75" s="68"/>
      <c r="Y75" s="68"/>
      <c r="Z75" s="68"/>
      <c r="AA75" s="68"/>
      <c r="AB75" s="68"/>
      <c r="AC75" s="68"/>
      <c r="AD75" s="68"/>
      <c r="AE75" s="68"/>
      <c r="AF75" s="68"/>
      <c r="AG75" s="68"/>
      <c r="AH75" s="68"/>
      <c r="AI75" s="68"/>
      <c r="AJ75" s="68"/>
      <c r="AK75" s="68"/>
      <c r="AL75" s="68"/>
      <c r="AM75" s="68"/>
      <c r="AN75" s="68"/>
      <c r="AO75" s="68"/>
      <c r="AP75" s="68"/>
      <c r="AQ75" s="68"/>
      <c r="AR75" s="68"/>
      <c r="AS75" s="68"/>
      <c r="AT75" s="68"/>
      <c r="AU75" s="68"/>
      <c r="AV75" s="68"/>
      <c r="AW75" s="68"/>
      <c r="AX75" s="68"/>
      <c r="AY75" s="73"/>
    </row>
    <row r="76" spans="1:51" ht="12.95" customHeight="1" x14ac:dyDescent="0.25">
      <c r="A76" s="142">
        <v>68</v>
      </c>
      <c r="B76" s="143"/>
      <c r="C76" s="68"/>
      <c r="D76" s="68"/>
      <c r="E76" s="68"/>
      <c r="F76" s="68"/>
      <c r="G76" s="68"/>
      <c r="H76" s="68"/>
      <c r="I76" s="68"/>
      <c r="J76" s="68"/>
      <c r="K76" s="68"/>
      <c r="L76" s="68"/>
      <c r="M76" s="68"/>
      <c r="N76" s="68"/>
      <c r="O76" s="68"/>
      <c r="P76" s="68"/>
      <c r="Q76" s="68"/>
      <c r="R76" s="68"/>
      <c r="S76" s="68"/>
      <c r="T76" s="68"/>
      <c r="U76" s="68"/>
      <c r="V76" s="68"/>
      <c r="W76" s="68"/>
      <c r="X76" s="68"/>
      <c r="Y76" s="68"/>
      <c r="Z76" s="68"/>
      <c r="AA76" s="68"/>
      <c r="AB76" s="68"/>
      <c r="AC76" s="68"/>
      <c r="AD76" s="68"/>
      <c r="AE76" s="68"/>
      <c r="AF76" s="68"/>
      <c r="AG76" s="68"/>
      <c r="AH76" s="68"/>
      <c r="AI76" s="68"/>
      <c r="AJ76" s="68"/>
      <c r="AK76" s="68"/>
      <c r="AL76" s="68"/>
      <c r="AM76" s="68"/>
      <c r="AN76" s="68"/>
      <c r="AO76" s="68"/>
      <c r="AP76" s="68"/>
      <c r="AQ76" s="68"/>
      <c r="AR76" s="68"/>
      <c r="AS76" s="68"/>
      <c r="AT76" s="68"/>
      <c r="AU76" s="68"/>
      <c r="AV76" s="68"/>
      <c r="AW76" s="68"/>
      <c r="AX76" s="68"/>
      <c r="AY76" s="73"/>
    </row>
    <row r="77" spans="1:51" ht="12.95" customHeight="1" x14ac:dyDescent="0.25">
      <c r="A77" s="142">
        <v>69</v>
      </c>
      <c r="B77" s="143"/>
      <c r="C77" s="68"/>
      <c r="D77" s="68"/>
      <c r="E77" s="68"/>
      <c r="F77" s="68"/>
      <c r="G77" s="68"/>
      <c r="H77" s="68"/>
      <c r="I77" s="68"/>
      <c r="J77" s="68"/>
      <c r="K77" s="68"/>
      <c r="L77" s="68"/>
      <c r="M77" s="68"/>
      <c r="N77" s="68"/>
      <c r="O77" s="68"/>
      <c r="P77" s="68"/>
      <c r="Q77" s="68"/>
      <c r="R77" s="68"/>
      <c r="S77" s="68"/>
      <c r="T77" s="68"/>
      <c r="U77" s="68"/>
      <c r="V77" s="68"/>
      <c r="W77" s="68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8"/>
      <c r="AL77" s="68"/>
      <c r="AM77" s="68"/>
      <c r="AN77" s="68"/>
      <c r="AO77" s="68"/>
      <c r="AP77" s="68"/>
      <c r="AQ77" s="68"/>
      <c r="AR77" s="68"/>
      <c r="AS77" s="68"/>
      <c r="AT77" s="68"/>
      <c r="AU77" s="68"/>
      <c r="AV77" s="68"/>
      <c r="AW77" s="68"/>
      <c r="AX77" s="68"/>
      <c r="AY77" s="73"/>
    </row>
    <row r="78" spans="1:51" ht="12.95" customHeight="1" x14ac:dyDescent="0.25">
      <c r="A78" s="144">
        <v>70</v>
      </c>
      <c r="B78" s="145"/>
      <c r="C78" s="146"/>
      <c r="D78" s="146"/>
      <c r="E78" s="146"/>
      <c r="F78" s="146"/>
      <c r="G78" s="146"/>
      <c r="H78" s="146"/>
      <c r="I78" s="146"/>
      <c r="J78" s="146"/>
      <c r="K78" s="146"/>
      <c r="L78" s="146"/>
      <c r="M78" s="146"/>
      <c r="N78" s="146"/>
      <c r="O78" s="146"/>
      <c r="P78" s="146"/>
      <c r="Q78" s="146"/>
      <c r="R78" s="146"/>
      <c r="S78" s="146"/>
      <c r="T78" s="146"/>
      <c r="U78" s="146"/>
      <c r="V78" s="146"/>
      <c r="W78" s="146"/>
      <c r="X78" s="146"/>
      <c r="Y78" s="146"/>
      <c r="Z78" s="146"/>
      <c r="AA78" s="146"/>
      <c r="AB78" s="146"/>
      <c r="AC78" s="146"/>
      <c r="AD78" s="146"/>
      <c r="AE78" s="146"/>
      <c r="AF78" s="146"/>
      <c r="AG78" s="146"/>
      <c r="AH78" s="146"/>
      <c r="AI78" s="146"/>
      <c r="AJ78" s="146"/>
      <c r="AK78" s="146"/>
      <c r="AL78" s="146"/>
      <c r="AM78" s="146"/>
      <c r="AN78" s="146"/>
      <c r="AO78" s="146"/>
      <c r="AP78" s="146"/>
      <c r="AQ78" s="146"/>
      <c r="AR78" s="146"/>
      <c r="AS78" s="146"/>
      <c r="AT78" s="146"/>
      <c r="AU78" s="146"/>
      <c r="AV78" s="146"/>
      <c r="AW78" s="146"/>
      <c r="AX78" s="146"/>
      <c r="AY78" s="147"/>
    </row>
  </sheetData>
  <mergeCells count="1">
    <mergeCell ref="A1:AY1"/>
  </mergeCells>
  <pageMargins left="1" right="1" top="1" bottom="1" header="0.25" footer="0.25"/>
  <pageSetup orientation="portrait"/>
  <headerFooter>
    <oddFooter>&amp;C&amp;"Helvetica Neue,Regular"&amp;12&amp;K000000&amp;P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Q12"/>
  <sheetViews>
    <sheetView showGridLines="0" workbookViewId="0">
      <selection activeCell="B24" sqref="B24"/>
    </sheetView>
  </sheetViews>
  <sheetFormatPr defaultColWidth="8.85546875" defaultRowHeight="15" customHeight="1" x14ac:dyDescent="0.25"/>
  <cols>
    <col min="1" max="1" width="20.7109375" style="148" customWidth="1"/>
    <col min="2" max="2" width="47.140625" style="148" customWidth="1"/>
    <col min="3" max="9" width="8.85546875" style="148" customWidth="1"/>
    <col min="10" max="16384" width="8.85546875" style="148"/>
  </cols>
  <sheetData>
    <row r="1" spans="1:43" ht="15" customHeight="1" x14ac:dyDescent="0.25">
      <c r="A1" s="148" t="s">
        <v>78</v>
      </c>
    </row>
    <row r="2" spans="1:43" ht="15" customHeight="1" x14ac:dyDescent="0.25">
      <c r="A2" s="149">
        <v>16</v>
      </c>
      <c r="B2" s="150" t="s">
        <v>19</v>
      </c>
      <c r="C2" s="151">
        <v>1</v>
      </c>
      <c r="D2" s="152">
        <v>4245</v>
      </c>
      <c r="E2" s="152">
        <f>C2*D2</f>
        <v>4245</v>
      </c>
      <c r="F2" s="153"/>
      <c r="G2" s="154"/>
      <c r="H2" s="155">
        <f>SUM(E2:E12)/5*6</f>
        <v>37386</v>
      </c>
    </row>
    <row r="3" spans="1:43" ht="15" customHeight="1" x14ac:dyDescent="0.25">
      <c r="A3" s="156">
        <v>8</v>
      </c>
      <c r="B3" s="157" t="s">
        <v>11</v>
      </c>
      <c r="C3" s="158">
        <v>1</v>
      </c>
      <c r="D3" s="159">
        <v>1295</v>
      </c>
      <c r="E3" s="159">
        <f>C3*D3</f>
        <v>1295</v>
      </c>
      <c r="F3" s="153"/>
      <c r="G3" s="154"/>
      <c r="H3" s="154"/>
    </row>
    <row r="4" spans="1:43" ht="15" customHeight="1" x14ac:dyDescent="0.25">
      <c r="A4" s="156">
        <v>3</v>
      </c>
      <c r="B4" s="157" t="s">
        <v>6</v>
      </c>
      <c r="C4" s="158">
        <v>7</v>
      </c>
      <c r="D4" s="158">
        <v>995</v>
      </c>
      <c r="E4" s="158">
        <f>C4*D4</f>
        <v>6965</v>
      </c>
      <c r="F4" s="153"/>
      <c r="G4" s="154"/>
      <c r="H4" s="154"/>
    </row>
    <row r="5" spans="1:43" ht="13.5" customHeight="1" x14ac:dyDescent="0.25">
      <c r="A5" s="160" t="s">
        <v>79</v>
      </c>
      <c r="B5" s="160"/>
      <c r="C5" s="160"/>
      <c r="D5" s="160"/>
      <c r="E5" s="160"/>
      <c r="F5" s="154"/>
      <c r="G5" s="154"/>
      <c r="H5" s="154"/>
    </row>
    <row r="6" spans="1:43" ht="33.75" customHeight="1" x14ac:dyDescent="0.25">
      <c r="A6" s="52">
        <v>45</v>
      </c>
      <c r="B6" s="53" t="s">
        <v>48</v>
      </c>
      <c r="C6" s="54">
        <v>1</v>
      </c>
      <c r="D6" s="55">
        <v>2525</v>
      </c>
      <c r="E6" s="56">
        <f t="shared" ref="E6:E8" si="0">C6*D6</f>
        <v>2525</v>
      </c>
      <c r="F6" s="9"/>
      <c r="G6" s="10"/>
      <c r="H6" s="10"/>
      <c r="I6" s="10"/>
      <c r="J6" s="10"/>
      <c r="K6" s="10"/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</row>
    <row r="7" spans="1:43" ht="33.75" customHeight="1" x14ac:dyDescent="0.25">
      <c r="A7" s="52" t="s">
        <v>80</v>
      </c>
      <c r="B7" s="53"/>
      <c r="C7" s="54"/>
      <c r="D7" s="55"/>
      <c r="E7" s="56"/>
      <c r="F7" s="9"/>
      <c r="G7" s="10"/>
      <c r="H7" s="10"/>
      <c r="I7" s="162"/>
      <c r="J7" s="162"/>
      <c r="K7" s="162"/>
      <c r="L7" s="162"/>
      <c r="M7" s="162"/>
      <c r="N7" s="162"/>
      <c r="O7" s="162"/>
      <c r="P7" s="162"/>
      <c r="Q7" s="162"/>
      <c r="R7" s="162"/>
      <c r="S7" s="162"/>
      <c r="T7" s="162"/>
      <c r="U7" s="162"/>
      <c r="V7" s="162"/>
      <c r="W7" s="162"/>
      <c r="X7" s="162"/>
      <c r="Y7" s="162"/>
      <c r="Z7" s="162"/>
      <c r="AA7" s="162"/>
      <c r="AB7" s="162"/>
      <c r="AC7" s="162"/>
      <c r="AD7" s="162"/>
      <c r="AE7" s="162"/>
      <c r="AF7" s="162"/>
      <c r="AG7" s="162"/>
      <c r="AH7" s="162"/>
      <c r="AI7" s="162"/>
      <c r="AJ7" s="162"/>
      <c r="AK7" s="162"/>
      <c r="AL7" s="162"/>
      <c r="AM7" s="162"/>
      <c r="AN7" s="162"/>
      <c r="AO7" s="162"/>
      <c r="AP7" s="162"/>
      <c r="AQ7" s="162"/>
    </row>
    <row r="8" spans="1:43" ht="13.5" customHeight="1" x14ac:dyDescent="0.25">
      <c r="A8" s="28">
        <v>21</v>
      </c>
      <c r="B8" s="29" t="s">
        <v>24</v>
      </c>
      <c r="C8" s="30">
        <v>1</v>
      </c>
      <c r="D8" s="31">
        <v>3500</v>
      </c>
      <c r="E8" s="31">
        <f t="shared" si="0"/>
        <v>3500</v>
      </c>
      <c r="F8" s="154"/>
      <c r="G8" s="154"/>
      <c r="H8" s="154"/>
    </row>
    <row r="9" spans="1:43" ht="13.5" customHeight="1" x14ac:dyDescent="0.25">
      <c r="A9" s="154" t="s">
        <v>81</v>
      </c>
      <c r="B9" s="154"/>
      <c r="C9" s="154"/>
      <c r="D9" s="154"/>
      <c r="E9" s="154"/>
      <c r="F9" s="154"/>
      <c r="G9" s="154"/>
      <c r="H9" s="154"/>
    </row>
    <row r="10" spans="1:43" ht="28.5" customHeight="1" x14ac:dyDescent="0.25">
      <c r="A10" s="52">
        <v>45</v>
      </c>
      <c r="B10" s="53" t="s">
        <v>48</v>
      </c>
      <c r="C10" s="54">
        <v>3</v>
      </c>
      <c r="D10" s="55">
        <v>2525</v>
      </c>
      <c r="E10" s="56">
        <f t="shared" ref="E10:E11" si="1">C10*D10</f>
        <v>7575</v>
      </c>
      <c r="F10" s="9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</row>
    <row r="11" spans="1:43" ht="28.5" customHeight="1" x14ac:dyDescent="0.25">
      <c r="A11" s="52">
        <v>50</v>
      </c>
      <c r="B11" s="53" t="s">
        <v>53</v>
      </c>
      <c r="C11" s="54">
        <v>2</v>
      </c>
      <c r="D11" s="55">
        <v>2525</v>
      </c>
      <c r="E11" s="56">
        <f t="shared" si="1"/>
        <v>5050</v>
      </c>
      <c r="F11" s="9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</row>
    <row r="12" spans="1:43" ht="13.5" customHeight="1" x14ac:dyDescent="0.25">
      <c r="A12" s="154"/>
      <c r="B12" s="154"/>
      <c r="C12" s="154"/>
      <c r="D12" s="154"/>
      <c r="E12" s="154"/>
      <c r="F12" s="154"/>
      <c r="G12" s="154"/>
      <c r="H12" s="154"/>
    </row>
  </sheetData>
  <pageMargins left="0.7" right="0.7" top="0.75" bottom="0.75" header="0.3" footer="0.3"/>
  <pageSetup orientation="portrait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Приход</vt:lpstr>
      <vt:lpstr>Расчеты</vt:lpstr>
      <vt:lpstr>Лист2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RePack by Diakov</cp:lastModifiedBy>
  <dcterms:modified xsi:type="dcterms:W3CDTF">2021-04-11T11:31:19Z</dcterms:modified>
</cp:coreProperties>
</file>